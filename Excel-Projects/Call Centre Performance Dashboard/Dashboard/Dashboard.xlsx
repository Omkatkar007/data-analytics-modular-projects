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hidePivotFieldList="1"/>
  <mc:AlternateContent xmlns:mc="http://schemas.openxmlformats.org/markup-compatibility/2006">
    <mc:Choice Requires="x15">
      <x15ac:absPath xmlns:x15ac="http://schemas.microsoft.com/office/spreadsheetml/2010/11/ac" url="D:\prep\BA-DA\excel_practice\Chandoo\4-Hours_one-shot\Practice\P-Project\Dashboard\"/>
    </mc:Choice>
  </mc:AlternateContent>
  <xr:revisionPtr revIDLastSave="0" documentId="13_ncr:1_{FD70BCBF-C0BB-4EA8-B999-9FC907CED074}" xr6:coauthVersionLast="47" xr6:coauthVersionMax="47" xr10:uidLastSave="{00000000-0000-0000-0000-000000000000}"/>
  <bookViews>
    <workbookView xWindow="-108" yWindow="-108" windowWidth="23256" windowHeight="12456" activeTab="3" xr2:uid="{26D4546B-D2A1-4444-8EAF-A6228F96F0C1}"/>
  </bookViews>
  <sheets>
    <sheet name="Data" sheetId="2" r:id="rId1"/>
    <sheet name="Assets" sheetId="4" r:id="rId2"/>
    <sheet name="Summary" sheetId="5" r:id="rId3"/>
    <sheet name="Report" sheetId="6" r:id="rId4"/>
  </sheets>
  <definedNames>
    <definedName name="_xlnm._FilterDatabase" localSheetId="0" hidden="1">Data!$B$3:$H$1003</definedName>
    <definedName name="_xlcn.WorksheetConnection_excelportfolioproject.xlsxcalls" hidden="1">calls[]</definedName>
    <definedName name="_xlcn.WorksheetConnection_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12" r:id="rId9"/>
    <pivotCache cacheId="15" r:id="rId10"/>
    <pivotCache cacheId="18" r:id="rId11"/>
    <pivotCache cacheId="21" r:id="rId12"/>
    <pivotCache cacheId="2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excel-portfolio-project.xlsx!customers"/>
          <x15:modelTable id="calls" name="calls" connection="WorksheetConnection_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4" i="5" l="1"/>
  <c r="E94" i="5"/>
  <c r="B87" i="5"/>
  <c r="O28" i="6" a="1"/>
  <c r="I30" i="5"/>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A100" i="5" l="1"/>
  <c r="M43" i="6" s="1"/>
  <c r="B104" i="5"/>
  <c r="M39" i="6" s="1"/>
  <c r="B89" i="5"/>
  <c r="B96" i="5" s="1"/>
  <c r="A102" i="5" s="1"/>
  <c r="M45" i="6" s="1"/>
  <c r="B88" i="5"/>
  <c r="B95" i="5" s="1"/>
  <c r="A101" i="5" s="1"/>
  <c r="M44" i="6" s="1"/>
  <c r="H89" i="5"/>
  <c r="G88" i="5"/>
  <c r="H87" i="5"/>
  <c r="H86" i="5"/>
  <c r="H90" i="5"/>
  <c r="G90" i="5"/>
  <c r="G89" i="5"/>
  <c r="H88" i="5"/>
  <c r="G87" i="5"/>
  <c r="G86" i="5"/>
  <c r="I34" i="5"/>
  <c r="I36" i="5"/>
  <c r="I37" i="5"/>
  <c r="I33" i="5"/>
  <c r="H34" i="5"/>
  <c r="H35" i="5"/>
  <c r="I35" i="5"/>
  <c r="H37" i="5"/>
  <c r="H36" i="5"/>
  <c r="H3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C4282A-70DE-4E76-A616-E9343FAAB2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98D8F8-69D5-4774-A215-9FA27012B705}" name="WorksheetConnection_excel-portfolio-project.xlsx!calls" type="102" refreshedVersion="8" minRefreshableVersion="5">
    <extLst>
      <ext xmlns:x15="http://schemas.microsoft.com/office/spreadsheetml/2010/11/main" uri="{DE250136-89BD-433C-8126-D09CA5730AF9}">
        <x15:connection id="calls" autoDelete="1">
          <x15:rangePr sourceName="_xlcn.WorksheetConnection_excelportfolioproject.xlsxcalls"/>
        </x15:connection>
      </ext>
    </extLst>
  </connection>
  <connection id="3" xr16:uid="{4B0E95CC-4D3C-4082-B6B1-38DF1381AB62}" name="WorksheetConnection_excel-portfolio-project.xlsx!customers" type="102" refreshedVersion="8" minRefreshableVersion="5">
    <extLst>
      <ext xmlns:x15="http://schemas.microsoft.com/office/spreadsheetml/2010/11/main" uri="{DE250136-89BD-433C-8126-D09CA5730AF9}">
        <x15:connection id="customers">
          <x15:rangePr sourceName="_xlcn.WorksheetConnection_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<sst xmlns="http://schemas.openxmlformats.org/spreadsheetml/2006/main" count="3190" uniqueCount="1086">
  <si>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</si>
  <si>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</si>
  <si>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</si>
  <si>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</si>
  <si>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</si>
  <si>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</si>
  <si>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</si>
  <si>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</si>
  <si>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</si>
  <si>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</si>
  <si>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</si>
  <si>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</si>
  <si>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</si>
  <si>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</si>
  <si>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</si>
  <si>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</si>
  <si>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</si>
  <si>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</si>
  <si>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</si>
  <si>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</si>
  <si>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</si>
  <si>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</si>
  <si>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</si>
  <si>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</si>
  <si>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</si>
  <si>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</si>
  <si>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</si>
  <si>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</si>
  <si>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</si>
  <si>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</si>
  <si>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</si>
  <si>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</si>
  <si>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</si>
  <si>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</si>
  <si>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</si>
  <si>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</si>
  <si>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</si>
  <si>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</si>
  <si>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</si>
  <si>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</si>
  <si>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</si>
  <si>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</si>
  <si>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</si>
  <si>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</si>
  <si>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</si>
  <si>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</si>
  <si>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</si>
  <si>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</si>
  <si>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</si>
  <si>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</si>
  <si>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</si>
  <si>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</si>
  <si>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</si>
  <si>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</si>
  <si>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</si>
  <si>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</si>
  <si>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</si>
  <si>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</si>
  <si>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</si>
  <si>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</si>
  <si>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</si>
  <si>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</si>
  <si>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</si>
  <si>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</si>
  <si>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</si>
  <si>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</si>
  <si>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</si>
  <si>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</si>
  <si>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</si>
  <si>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</si>
  <si>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</si>
  <si>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</si>
  <si>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</si>
  <si>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</si>
  <si>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</si>
  <si>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</si>
  <si>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</si>
  <si>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</si>
  <si>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</si>
  <si>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</si>
  <si>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</si>
  <si>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</si>
  <si>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</si>
  <si>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</si>
  <si>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</si>
  <si>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</si>
  <si>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</si>
  <si>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</si>
  <si>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</si>
  <si>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</si>
  <si>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</si>
  <si>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</si>
  <si>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</si>
  <si>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</si>
  <si>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</si>
  <si>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</si>
  <si>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</si>
  <si>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</si>
  <si>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</si>
  <si>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</si>
  <si>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</si>
  <si>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</si>
  <si>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</si>
  <si>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</si>
  <si>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</si>
  <si>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</si>
  <si>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</si>
  <si>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</si>
  <si>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</si>
  <si>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</si>
  <si>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</si>
  <si>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</si>
  <si>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</si>
  <si>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</si>
  <si>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</si>
  <si>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</si>
  <si>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</si>
  <si>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</si>
  <si>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</si>
  <si>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</si>
  <si>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</si>
  <si>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</si>
  <si>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</si>
  <si>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</si>
  <si>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</si>
  <si>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</si>
  <si>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</si>
  <si>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</si>
  <si>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</si>
  <si>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</si>
  <si>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</si>
  <si>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</si>
  <si>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</si>
  <si>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</si>
  <si>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</si>
  <si>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</si>
  <si>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</si>
  <si>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</si>
  <si>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</si>
  <si>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</si>
  <si>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</si>
  <si>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</si>
  <si>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</si>
  <si>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</si>
  <si>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</si>
  <si>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</si>
  <si>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</si>
  <si>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</si>
  <si>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</si>
  <si>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</si>
  <si>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</si>
  <si>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</si>
  <si>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</si>
  <si>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</si>
  <si>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</si>
  <si>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</si>
  <si>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</si>
  <si>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</si>
  <si>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</si>
  <si>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</si>
  <si>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</si>
  <si>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</si>
  <si>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</si>
  <si>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</si>
  <si>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</si>
  <si>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</si>
  <si>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</si>
  <si>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</si>
  <si>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</si>
  <si>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</si>
  <si>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</si>
  <si>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</si>
  <si>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</si>
  <si>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</si>
  <si>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</si>
  <si>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</si>
  <si>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</si>
  <si>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</si>
  <si>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</si>
  <si>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</si>
  <si>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</si>
  <si>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</si>
  <si>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</si>
  <si>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</si>
  <si>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</si>
  <si>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</si>
  <si>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</si>
  <si>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</si>
  <si>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</si>
  <si>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</si>
  <si>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</si>
  <si>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</si>
  <si>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</si>
  <si>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</si>
  <si>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</si>
  <si>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</si>
  <si>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</si>
  <si>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</si>
  <si>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</si>
  <si>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</si>
  <si>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</si>
  <si>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</si>
  <si>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</si>
  <si>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</si>
  <si>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</si>
  <si>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</si>
  <si>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</si>
  <si>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</si>
  <si>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</si>
  <si>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</si>
  <si>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</si>
  <si>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</si>
  <si>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</si>
  <si>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</si>
  <si>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</si>
  <si>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</si>
  <si>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</si>
  <si>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</si>
  <si>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</si>
  <si>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</si>
  <si>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</si>
  <si>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</si>
  <si>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</si>
  <si>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</si>
  <si>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</si>
  <si>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</si>
  <si>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</si>
  <si>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</si>
  <si>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</si>
  <si>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</si>
  <si>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</si>
  <si>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</si>
  <si>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</si>
  <si>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</si>
  <si>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</si>
  <si>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</si>
  <si>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</si>
  <si>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</si>
  <si>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</si>
  <si>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</si>
  <si>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</si>
  <si>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</si>
  <si>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</si>
  <si>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</si>
  <si>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</si>
  <si>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</si>
  <si>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</si>
  <si>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</si>
  <si>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</si>
  <si>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</si>
  <si>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</si>
  <si>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</si>
  <si>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</si>
  <si>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</si>
  <si>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</si>
  <si>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</si>
  <si>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</si>
  <si>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</si>
  <si>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</si>
  <si>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</si>
  <si>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</si>
  <si>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</si>
  <si>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</si>
  <si>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</si>
  <si>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</si>
  <si>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</si>
  <si>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</si>
  <si>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</si>
  <si>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</si>
  <si>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</si>
  <si>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</si>
  <si>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</si>
  <si>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</si>
  <si>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</si>
  <si>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</si>
  <si>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</si>
  <si>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</si>
  <si>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</si>
  <si>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</si>
  <si>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</si>
  <si>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</si>
  <si>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</si>
  <si>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</si>
  <si>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</si>
  <si>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</si>
  <si>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</si>
  <si>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</si>
  <si>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</si>
  <si>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</si>
  <si>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</si>
  <si>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</si>
  <si>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</si>
  <si>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</si>
  <si>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</si>
  <si>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</si>
  <si>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</si>
  <si>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</si>
  <si>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</si>
  <si>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</si>
  <si>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</si>
  <si>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</si>
  <si>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</si>
  <si>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</si>
  <si>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</si>
  <si>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</si>
  <si>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</si>
  <si>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</si>
  <si>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</si>
  <si>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</si>
  <si>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</si>
  <si>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</si>
  <si>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</si>
  <si>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</si>
  <si>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</si>
  <si>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</si>
  <si>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</si>
  <si>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</si>
  <si>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</si>
  <si>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</si>
  <si>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</si>
  <si>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</si>
  <si>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</si>
  <si>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</si>
  <si>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</si>
  <si>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</si>
  <si>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</si>
  <si>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</si>
  <si>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</si>
  <si>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</si>
  <si>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</si>
  <si>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</si>
  <si>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</si>
  <si>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</si>
  <si>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</si>
  <si>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</si>
  <si>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</si>
  <si>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</si>
  <si>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</si>
  <si>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</si>
  <si>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</si>
  <si>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</si>
  <si>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</si>
  <si>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</si>
  <si>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</si>
  <si>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</si>
  <si>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</si>
  <si>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</si>
  <si>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</si>
  <si>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</si>
  <si>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</si>
  <si>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</si>
  <si>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</si>
  <si>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</si>
  <si>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</si>
  <si>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</si>
  <si>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</si>
  <si>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</si>
  <si>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</si>
  <si>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</si>
  <si>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</si>
  <si>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</si>
  <si>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</si>
  <si>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</si>
  <si>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</si>
  <si>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</si>
  <si>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</si>
  <si>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</si>
  <si>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</si>
  <si>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</si>
  <si>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</si>
  <si>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</si>
  <si>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</si>
  <si>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</si>
  <si>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</si>
  <si>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</si>
  <si>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</si>
  <si>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</si>
  <si>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</si>
  <si>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</si>
  <si>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</si>
  <si>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</si>
  <si>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</si>
  <si>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</si>
  <si>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</si>
  <si>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</si>
  <si>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</si>
  <si>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</si>
  <si>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</si>
  <si>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</si>
  <si>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</si>
  <si>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</si>
  <si>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</si>
  <si>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</si>
  <si>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</si>
  <si>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</si>
  <si>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</si>
  <si>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</si>
  <si>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</si>
  <si>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</si>
  <si>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</si>
  <si>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</si>
  <si>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</si>
  <si>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</si>
  <si>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</si>
  <si>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</si>
  <si>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</si>
  <si>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</si>
  <si>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</si>
  <si>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</si>
  <si>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</si>
  <si>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</si>
  <si>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</si>
  <si>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</si>
  <si>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</si>
  <si>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</si>
  <si>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</si>
  <si>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</si>
  <si>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</si>
  <si>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</si>
  <si>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</si>
  <si>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</si>
  <si>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</si>
  <si>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</si>
  <si>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</si>
  <si>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</si>
  <si>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</si>
  <si>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</si>
  <si>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</si>
  <si>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</si>
  <si>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</si>
  <si>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</si>
  <si>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</si>
  <si>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</si>
  <si>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</si>
  <si>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</si>
  <si>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</si>
  <si>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</si>
  <si>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</si>
  <si>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</si>
  <si>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</si>
  <si>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</si>
  <si>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</si>
  <si>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</si>
  <si>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</si>
  <si>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</si>
  <si>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</si>
  <si>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</si>
  <si>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</si>
  <si>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</si>
  <si>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</si>
  <si>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</si>
  <si>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</si>
  <si>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</si>
  <si>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</si>
  <si>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</si>
  <si>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</si>
  <si>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</si>
  <si>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</si>
  <si>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</si>
  <si>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</si>
  <si>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</si>
  <si>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</si>
  <si>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</si>
  <si>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</si>
  <si>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</si>
  <si>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</si>
  <si>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</si>
  <si>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</si>
  <si>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</si>
  <si>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</si>
  <si>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</si>
  <si>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</si>
  <si>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</si>
  <si>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</si>
  <si>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</si>
  <si>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</si>
  <si>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</si>
  <si>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</si>
  <si>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</si>
  <si>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</si>
  <si>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</si>
  <si>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</si>
  <si>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</si>
  <si>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</si>
  <si>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</si>
  <si>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</si>
  <si>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</si>
  <si>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</si>
  <si>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</si>
  <si>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</si>
  <si>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</si>
  <si>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</si>
  <si>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</si>
  <si>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</si>
  <si>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</si>
  <si>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</si>
  <si>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</si>
  <si>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</si>
  <si>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</si>
  <si>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</si>
  <si>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</si>
  <si>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</si>
  <si>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</si>
  <si>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</si>
  <si>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</si>
  <si>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</si>
  <si>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</si>
  <si>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</si>
  <si>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</si>
  <si>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</si>
  <si>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</si>
  <si>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</si>
  <si>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</si>
  <si>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</si>
  <si>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</si>
  <si>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</si>
  <si>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</si>
  <si>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</si>
  <si>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</si>
  <si>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</si>
  <si>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</si>
  <si>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</si>
  <si>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</si>
  <si>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</si>
  <si>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</si>
  <si>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</si>
  <si>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</si>
  <si>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</si>
  <si>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</si>
  <si>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</si>
  <si>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</si>
  <si>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</si>
  <si>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</si>
  <si>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</si>
  <si>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</si>
  <si>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</si>
  <si>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</si>
  <si>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</si>
  <si>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</si>
  <si>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</si>
  <si>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</si>
  <si>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</si>
  <si>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</si>
  <si>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</si>
  <si>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</si>
  <si>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</si>
  <si>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</si>
  <si>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</si>
  <si>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</si>
  <si>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</si>
  <si>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</si>
  <si>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</si>
  <si>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</si>
  <si>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</si>
  <si>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</si>
  <si>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</si>
  <si>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</si>
  <si>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</si>
  <si>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</si>
  <si>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</si>
  <si>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</si>
  <si>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</si>
  <si>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</si>
  <si>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</si>
  <si>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</si>
  <si>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</si>
  <si>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</si>
  <si>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</si>
  <si>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</si>
  <si>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</si>
  <si>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</si>
  <si>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</si>
  <si>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</si>
  <si>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</si>
  <si>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</si>
  <si>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</si>
  <si>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</si>
  <si>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</si>
  <si>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</si>
  <si>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</si>
  <si>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</si>
  <si>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</si>
  <si>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</si>
  <si>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</si>
  <si>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</si>
  <si>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</si>
  <si>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</si>
  <si>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</si>
  <si>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</si>
  <si>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</si>
  <si>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</si>
  <si>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</si>
  <si>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</si>
  <si>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</si>
  <si>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</si>
  <si>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</si>
  <si>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</si>
  <si>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</si>
  <si>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</si>
  <si>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</si>
  <si>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</si>
  <si>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</si>
  <si>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</si>
  <si>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</si>
  <si>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</si>
  <si>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</si>
  <si>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</si>
  <si>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</si>
  <si>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</si>
  <si>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</si>
  <si>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</si>
  <si>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</si>
  <si>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</si>
  <si>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</si>
  <si>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</si>
  <si>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</si>
  <si>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</si>
  <si>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</si>
  <si>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</si>
  <si>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</si>
  <si>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</si>
  <si>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</si>
  <si>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</si>
  <si>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</si>
  <si>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</si>
  <si>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</si>
  <si>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</si>
  <si>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</si>
  <si>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</si>
  <si>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</si>
  <si>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</si>
  <si>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</si>
  <si>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</si>
  <si>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</si>
  <si>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</si>
  <si>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</si>
  <si>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</si>
  <si>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</si>
  <si>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</si>
  <si>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</si>
  <si>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</si>
  <si>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</si>
  <si>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</si>
  <si>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</si>
  <si>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</si>
  <si>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</si>
  <si>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</si>
  <si>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</si>
  <si>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</si>
  <si>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</si>
  <si>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</si>
  <si>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</si>
  <si>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</si>
  <si>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</si>
  <si>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</si>
  <si>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</si>
  <si>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</si>
  <si>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</si>
  <si>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</si>
  <si>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</si>
  <si>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</si>
  <si>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</si>
  <si>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</si>
  <si>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</si>
  <si>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</si>
  <si>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</si>
  <si>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</si>
  <si>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</si>
  <si>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</si>
  <si>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</si>
  <si>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</si>
  <si>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</si>
  <si>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</si>
  <si>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</si>
  <si>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</si>
  <si>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</si>
  <si>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</si>
  <si>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</si>
  <si>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</si>
  <si>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</si>
  <si>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</si>
  <si>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</si>
  <si>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</si>
  <si>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</si>
  <si>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</si>
  <si>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</si>
  <si>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</si>
  <si>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</si>
  <si>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</si>
  <si>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</si>
  <si>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</si>
  <si>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</si>
  <si>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</si>
  <si>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</si>
  <si>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</si>
  <si>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</si>
  <si>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</si>
  <si>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</si>
  <si>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</si>
  <si>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</si>
  <si>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</si>
  <si>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</si>
  <si>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</si>
  <si>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</si>
  <si>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</si>
  <si>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</si>
  <si>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</si>
  <si>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</si>
  <si>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</si>
  <si>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</si>
  <si>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</si>
  <si>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</si>
  <si>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</si>
  <si>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</si>
  <si>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</si>
  <si>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</si>
  <si>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</si>
  <si>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</si>
  <si>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</si>
  <si>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</si>
  <si>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</si>
  <si>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</si>
  <si>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</si>
  <si>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</si>
  <si>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</si>
  <si>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</si>
  <si>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</si>
  <si>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</si>
  <si>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</si>
  <si>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</si>
  <si>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</si>
  <si>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</si>
  <si>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</si>
  <si>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</si>
  <si>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</si>
  <si>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</si>
  <si>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</si>
  <si>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</si>
  <si>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</si>
  <si>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</si>
  <si>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</si>
  <si>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</si>
  <si>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</si>
  <si>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</si>
  <si>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</si>
  <si>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</si>
  <si>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</si>
  <si>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</si>
  <si>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</si>
  <si>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</si>
  <si>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</si>
  <si>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</si>
  <si>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</si>
  <si>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</si>
  <si>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</si>
  <si>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</si>
  <si>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</si>
  <si>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</si>
  <si>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</si>
  <si>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</si>
  <si>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</si>
  <si>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</si>
  <si>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</si>
  <si>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</si>
  <si>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</si>
  <si>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</si>
  <si>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</si>
  <si>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</si>
  <si>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</si>
  <si>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</si>
  <si>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</si>
  <si>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</si>
  <si>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</si>
  <si>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</si>
  <si>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</si>
  <si>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</si>
  <si>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</si>
  <si>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</si>
  <si>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</si>
  <si>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</si>
  <si>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</si>
  <si>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</si>
  <si>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</si>
  <si>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</si>
  <si>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</si>
  <si>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</si>
  <si>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</si>
  <si>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</si>
  <si>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</si>
  <si>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</si>
  <si>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</si>
  <si>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</si>
  <si>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</si>
  <si>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</si>
  <si>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</si>
  <si>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</si>
  <si>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</si>
  <si>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</si>
  <si>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</si>
  <si>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</si>
  <si>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</si>
  <si>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</si>
  <si>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</si>
  <si>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</si>
  <si>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</si>
  <si>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</si>
  <si>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</si>
  <si>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</si>
  <si>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</si>
  <si>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</si>
  <si>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</si>
  <si>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</si>
  <si>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</si>
  <si>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</si>
  <si>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</si>
  <si>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</si>
  <si>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</si>
  <si>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</si>
  <si>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</si>
  <si>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</si>
  <si>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</si>
  <si>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</si>
  <si>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</si>
  <si>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</si>
  <si>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</si>
  <si>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</si>
  <si>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</si>
  <si>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</si>
  <si>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</si>
  <si>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</si>
  <si>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</si>
  <si>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</si>
  <si>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</si>
  <si>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</si>
  <si>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</si>
  <si>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</si>
  <si>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</si>
  <si>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</si>
  <si>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</si>
  <si>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</si>
  <si>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</si>
  <si>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</si>
  <si>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</si>
  <si>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</si>
  <si>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</si>
  <si>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</si>
  <si>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</si>
  <si>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</si>
  <si>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</si>
  <si>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</si>
  <si>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</si>
  <si>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</si>
  <si>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</si>
  <si>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</si>
  <si>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</si>
  <si>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</si>
  <si>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</si>
  <si>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</si>
  <si>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</si>
  <si>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</si>
  <si>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</si>
  <si>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</si>
  <si>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</si>
  <si>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</si>
  <si>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</si>
  <si>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</si>
  <si>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</si>
  <si>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</si>
  <si>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</si>
  <si>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</si>
  <si>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</si>
  <si>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</si>
  <si>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</si>
  <si>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</si>
  <si>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</si>
  <si>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</si>
  <si>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</si>
  <si>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</si>
  <si>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</si>
  <si>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</si>
  <si>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</si>
  <si>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</si>
  <si>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</si>
  <si>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</si>
  <si>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</si>
  <si>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</si>
  <si>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</si>
  <si>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</si>
  <si>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</si>
  <si>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</si>
  <si>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</si>
  <si>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</si>
  <si>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</si>
  <si>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</si>
  <si>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</si>
  <si>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</si>
  <si>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</si>
  <si>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</si>
  <si>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</si>
  <si>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</si>
  <si>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</si>
  <si>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</si>
  <si>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</si>
  <si>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</si>
  <si>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</si>
  <si>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</si>
  <si>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</si>
  <si>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</si>
  <si>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</si>
  <si>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</si>
  <si>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</si>
  <si>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</si>
  <si>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</si>
  <si>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</si>
  <si>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</si>
  <si>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</si>
  <si>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</si>
  <si>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</si>
  <si>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</si>
  <si>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</si>
  <si>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</si>
  <si>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</si>
  <si>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</si>
  <si>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</si>
  <si>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</si>
  <si>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</si>
  <si>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</si>
  <si>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</si>
  <si>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</si>
  <si>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</si>
  <si>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</si>
  <si>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</si>
  <si>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</si>
  <si>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</si>
  <si>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</si>
  <si>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</si>
  <si>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</si>
  <si>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</si>
  <si>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</si>
  <si>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</si>
  <si>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</si>
  <si>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</si>
  <si>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</si>
  <si>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</si>
  <si>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</si>
  <si>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</si>
  <si>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</si>
  <si>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</si>
  <si>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</si>
  <si>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</si>
  <si>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</si>
  <si>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</si>
  <si>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</si>
  <si>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</si>
  <si>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</si>
  <si>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</si>
  <si>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</si>
  <si>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</si>
  <si>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</si>
  <si>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</si>
  <si>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</si>
  <si>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</si>
  <si>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</si>
  <si>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</si>
  <si>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</si>
  <si>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</si>
  <si>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</si>
  <si>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</si>
  <si>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</si>
  <si>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</si>
  <si>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</si>
  <si>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</si>
  <si>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</si>
  <si>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</si>
  <si>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</si>
  <si>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</si>
  <si>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</si>
  <si>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</si>
  <si>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</si>
  <si>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</si>
  <si>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</si>
  <si>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</si>
  <si>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</si>
  <si>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</si>
  <si>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</si>
  <si>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</si>
  <si>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</si>
  <si>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</si>
  <si>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</si>
  <si>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</si>
  <si>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</si>
  <si>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</si>
  <si>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</si>
  <si>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</si>
  <si>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</si>
  <si>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</si>
  <si>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</si>
  <si>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</si>
  <si>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</si>
  <si>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</si>
  <si>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</si>
  <si>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</si>
  <si>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</si>
  <si>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</si>
  <si>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</si>
  <si>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</si>
  <si>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</si>
  <si>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</si>
  <si>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</si>
  <si>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</si>
  <si>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</si>
  <si>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</si>
  <si>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</si>
  <si>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</si>
  <si>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</si>
  <si>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</si>
  <si>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</si>
  <si>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</si>
  <si>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</si>
  <si>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</si>
  <si>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</si>
  <si>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</si>
  <si>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</si>
  <si>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</si>
  <si>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</si>
  <si>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</si>
  <si>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</si>
  <si>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</si>
  <si>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</si>
  <si>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</si>
  <si>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</si>
  <si>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</si>
  <si>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</si>
  <si>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</si>
  <si>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</si>
  <si>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</si>
  <si>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</si>
  <si>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</si>
  <si>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</si>
  <si>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</si>
  <si>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</si>
  <si>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</si>
  <si>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5* Rating</t>
  </si>
  <si>
    <t>Avg Rating</t>
  </si>
  <si>
    <t>Total Duration</t>
  </si>
  <si>
    <t>Total Amount</t>
  </si>
  <si>
    <t>Call Count</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</si>
  <si>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</si>
  <si>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</si>
  <si>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</si>
  <si>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</si>
  <si>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</si>
  <si>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</si>
  <si>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</si>
  <si>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</si>
  <si>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</si>
  <si>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</si>
  <si>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</si>
  <si>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</si>
  <si>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</si>
  <si>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</si>
  <si>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</si>
  <si>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</si>
  <si>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</si>
  <si>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</si>
  <si>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</si>
  <si>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</si>
  <si>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</si>
  <si>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</si>
  <si>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Sum of Purchase Amount</t>
  </si>
  <si>
    <t>reps</t>
  </si>
  <si>
    <t xml:space="preserve">amount </t>
  </si>
  <si>
    <t xml:space="preserve">call </t>
  </si>
  <si>
    <t>rep.Amount</t>
  </si>
  <si>
    <t xml:space="preserve">rep.Calls </t>
  </si>
  <si>
    <t xml:space="preserve">selected rep </t>
  </si>
  <si>
    <t>Column Labels</t>
  </si>
  <si>
    <t xml:space="preserve">picutres data </t>
  </si>
  <si>
    <t xml:space="preserve">summary </t>
  </si>
  <si>
    <t xml:space="preserve">% of call </t>
  </si>
  <si>
    <t xml:space="preserve">call rank </t>
  </si>
  <si>
    <t xml:space="preserve">amount rank </t>
  </si>
  <si>
    <t>Values</t>
  </si>
  <si>
    <t>Lables</t>
  </si>
  <si>
    <t xml:space="preserve">image: </t>
  </si>
  <si>
    <t>Call Center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</si>
</sst>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0;\(\$#,##0\);\$#,##0"/>
    <numFmt numFmtId="167" formatCode="&quot;$&quot;#,###.0,.&quot;k&quot;"/>
    <numFmt numFmtId="168" formatCode="&quot;$&quot;#,###.0,.&quot;K&quot;"/>
    <numFmt numFmtId="169" formatCode="&quot;$&quot;#,##0.0"/>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1"/>
      <color theme="1"/>
      <name val="Aptos ExtraBold"/>
      <family val="2"/>
      <scheme val="major"/>
    </font>
    <font>
      <sz val="14"/>
      <color theme="1"/>
      <name val="Aptos"/>
      <family val="2"/>
      <scheme val="minor"/>
    </font>
    <font>
      <b/>
      <sz val="14"/>
      <color theme="1"/>
      <name val="Aptos ExtraBold"/>
      <family val="2"/>
      <scheme val="major"/>
    </font>
    <font>
      <b/>
      <sz val="18"/>
      <color theme="1"/>
      <name val="Aptos"/>
      <family val="2"/>
      <scheme val="minor"/>
    </font>
    <font>
      <b/>
      <sz val="56"/>
      <color theme="5"/>
      <name val="Franklin Gothic Medium"/>
      <family val="2"/>
    </font>
  </fonts>
  <fills count="7">
    <fill>
      <patternFill patternType="none"/>
    </fill>
    <fill>
      <patternFill patternType="gray125"/>
    </fill>
    <fill>
      <patternFill patternType="solid">
        <fgColor theme="7"/>
        <bgColor indexed="64"/>
      </patternFill>
    </fill>
    <fill>
      <patternFill patternType="solid">
        <fgColor theme="7" tint="0.39997558519241921"/>
        <bgColor indexed="65"/>
      </patternFill>
    </fill>
    <fill>
      <patternFill patternType="solid">
        <fgColor theme="0" tint="-0.14999847407452621"/>
        <bgColor indexed="64"/>
      </patternFill>
    </fill>
    <fill>
      <patternFill patternType="solid">
        <fgColor theme="0"/>
        <bgColor indexed="64"/>
      </patternFill>
    </fill>
    <fill>
      <patternFill patternType="solid">
        <fgColor rgb="FF2B2B2B"/>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3">
    <xf numFmtId="0" fontId="0" fillId="0" borderId="0"/>
    <xf numFmtId="0" fontId="4" fillId="3" borderId="0" applyNumberFormat="0" applyBorder="0" applyAlignment="0" applyProtection="0"/>
    <xf numFmtId="9" fontId="4" fillId="0" borderId="0" applyFont="0" applyFill="0" applyBorder="0" applyAlignment="0" applyProtection="0"/>
  </cellStyleXfs>
  <cellXfs count="5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4" fillId="3" borderId="0" xfId="1"/>
    <xf numFmtId="0" fontId="0" fillId="3" borderId="0" xfId="1" applyFont="1"/>
    <xf numFmtId="168" fontId="0" fillId="0" borderId="0" xfId="0" applyNumberFormat="1"/>
    <xf numFmtId="0" fontId="0" fillId="4" borderId="0" xfId="0" applyFill="1"/>
    <xf numFmtId="0" fontId="0" fillId="0" borderId="0" xfId="0" applyAlignment="1">
      <alignment horizontal="left" indent="1"/>
    </xf>
    <xf numFmtId="0" fontId="0" fillId="4" borderId="0" xfId="0" applyFill="1" applyAlignment="1">
      <alignment horizontal="center" vertical="center"/>
    </xf>
    <xf numFmtId="0" fontId="6" fillId="5" borderId="10" xfId="0" applyFont="1" applyFill="1" applyBorder="1"/>
    <xf numFmtId="0" fontId="7" fillId="5" borderId="11" xfId="0" applyFont="1" applyFill="1" applyBorder="1"/>
    <xf numFmtId="0" fontId="7" fillId="5" borderId="12" xfId="0" applyFont="1" applyFill="1" applyBorder="1"/>
    <xf numFmtId="0" fontId="7" fillId="5" borderId="19" xfId="0" applyFont="1" applyFill="1" applyBorder="1"/>
    <xf numFmtId="0" fontId="7" fillId="5" borderId="20" xfId="0" applyFont="1" applyFill="1" applyBorder="1"/>
    <xf numFmtId="9" fontId="0" fillId="0" borderId="0" xfId="2" applyFont="1"/>
    <xf numFmtId="0" fontId="5" fillId="0" borderId="0" xfId="0" applyFont="1"/>
    <xf numFmtId="0" fontId="0" fillId="4" borderId="14" xfId="0" applyFill="1" applyBorder="1" applyAlignment="1">
      <alignment horizontal="center" vertical="center"/>
    </xf>
    <xf numFmtId="0" fontId="0" fillId="4" borderId="0" xfId="0" applyFill="1" applyAlignment="1">
      <alignment horizontal="left" vertical="center"/>
    </xf>
    <xf numFmtId="0" fontId="8" fillId="4" borderId="0" xfId="0" applyFont="1" applyFill="1" applyAlignment="1">
      <alignment horizontal="left" vertical="center"/>
    </xf>
    <xf numFmtId="169" fontId="7" fillId="5" borderId="0" xfId="0" applyNumberFormat="1" applyFont="1" applyFill="1"/>
    <xf numFmtId="169" fontId="7" fillId="5" borderId="14" xfId="0" applyNumberFormat="1" applyFont="1" applyFill="1" applyBorder="1"/>
    <xf numFmtId="169" fontId="7" fillId="5" borderId="19" xfId="0" applyNumberFormat="1" applyFont="1" applyFill="1" applyBorder="1"/>
    <xf numFmtId="169" fontId="7" fillId="5" borderId="20" xfId="0" applyNumberFormat="1" applyFont="1" applyFill="1" applyBorder="1"/>
    <xf numFmtId="169" fontId="7" fillId="5" borderId="16" xfId="0" applyNumberFormat="1" applyFont="1" applyFill="1" applyBorder="1"/>
    <xf numFmtId="169" fontId="7" fillId="5" borderId="17" xfId="0" applyNumberFormat="1" applyFont="1" applyFill="1" applyBorder="1"/>
    <xf numFmtId="0" fontId="7" fillId="5" borderId="18" xfId="0" applyFont="1" applyFill="1" applyBorder="1" applyAlignment="1">
      <alignment horizontal="center" vertical="center"/>
    </xf>
    <xf numFmtId="0" fontId="7" fillId="5" borderId="13" xfId="0" applyFont="1" applyFill="1" applyBorder="1" applyAlignment="1">
      <alignment horizontal="center"/>
    </xf>
    <xf numFmtId="0" fontId="7" fillId="5" borderId="13" xfId="0" applyFont="1" applyFill="1" applyBorder="1" applyAlignment="1">
      <alignment horizontal="center" vertical="top"/>
    </xf>
    <xf numFmtId="0" fontId="7" fillId="5" borderId="15" xfId="0" applyFont="1" applyFill="1" applyBorder="1" applyAlignment="1">
      <alignment horizontal="center" vertical="top"/>
    </xf>
    <xf numFmtId="0" fontId="9" fillId="6" borderId="0" xfId="0" applyFont="1" applyFill="1" applyAlignment="1">
      <alignment horizontal="center"/>
    </xf>
    <xf numFmtId="0" fontId="0" fillId="4" borderId="0" xfId="0" applyFill="1" applyAlignment="1">
      <alignment horizontal="center" vertical="center"/>
    </xf>
    <xf numFmtId="0" fontId="0" fillId="4" borderId="14" xfId="0" applyFill="1" applyBorder="1" applyAlignment="1">
      <alignment horizontal="center" vertical="center"/>
    </xf>
  </cellXfs>
  <cellStyles count="3">
    <cellStyle name="60% - Accent4" xfId="1" builtinId="44"/>
    <cellStyle name="Normal" xfId="0" builtinId="0"/>
    <cellStyle name="Percent" xfId="2" builtinId="5"/>
  </cellStyles>
  <dxfs count="16">
    <dxf>
      <fill>
        <patternFill>
          <bgColor theme="5" tint="0.39994506668294322"/>
        </patternFill>
      </fill>
      <border>
        <left style="thin">
          <color auto="1"/>
        </left>
        <right style="thin">
          <color auto="1"/>
        </right>
        <top style="thin">
          <color auto="1"/>
        </top>
        <bottom style="thin">
          <color auto="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5"/>
    </tableStyle>
  </tableStyles>
  <colors>
    <mruColors>
      <color rgb="FF2B2B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[excel-portfolio-project.xlsx]Summary!weekly trend</c:name>
    <c:fmtId val="14"/>
  </c:pivotSource>
  <c:chart>
    <c:title>
      <c:tx>
        <c:rich>
          <a:bodyPr rot="0" spcFirstLastPara="1" vertOverflow="ellipsis" vert="horz" wrap="square" anchor="ctr" anchorCtr="1"/>
          <a:lstStyle/>
          <a:p>
            <a:pPr>
              <a:defRPr lang="en-US" sz="2400" b="1" i="0" u="none" strike="noStrike" kern="1200" spc="0" baseline="0">
                <a:solidFill>
                  <a:schemeClr val="accent2"/>
                </a:solidFill>
                <a:latin typeface="+mj-lt"/>
                <a:ea typeface="+mn-ea"/>
                <a:cs typeface="+mn-cs"/>
              </a:defRPr>
            </a:pPr>
            <a:r>
              <a:rPr lang="en-US" sz="1800">
                <a:solidFill>
                  <a:schemeClr val="accent2"/>
                </a:solidFill>
                <a:latin typeface="+mj-lt"/>
              </a:rPr>
              <a:t>Calls by Weekday</a:t>
            </a:r>
          </a:p>
        </c:rich>
      </c:tx>
      <c:overlay val="0"/>
      <c:spPr>
        <a:noFill/>
        <a:ln>
          <a:noFill/>
        </a:ln>
        <a:effectLst/>
      </c:spPr>
      <c:txPr>
        <a:bodyPr rot="0" spcFirstLastPara="1" vertOverflow="ellipsis" vert="horz" wrap="square" anchor="ctr" anchorCtr="1"/>
        <a:lstStyle/>
        <a:p>
          <a:pPr>
            <a:defRPr lang="en-US" sz="2400" b="1" i="0" u="none" strike="noStrike" kern="1200" spc="0" baseline="0">
              <a:solidFill>
                <a:schemeClr val="accent2"/>
              </a:solidFill>
              <a:latin typeface="+mj-lt"/>
              <a:ea typeface="+mn-ea"/>
              <a:cs typeface="+mn-cs"/>
            </a:defRPr>
          </a:pPr>
          <a:endParaRPr lang="en-US"/>
        </a:p>
      </c:txPr>
    </c:title>
    <c:autoTitleDeleted val="0"/>
    <c:pivotFmts>
      <c:pivotFmt>
        <c:idx val="0"/>
        <c:spPr>
          <a:solidFill>
            <a:schemeClr val="accent2">
              <a:lumMod val="75000"/>
              <a:alpha val="98000"/>
            </a:schemeClr>
          </a:solidFill>
          <a:ln w="6350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alpha val="98000"/>
            </a:schemeClr>
          </a:solidFill>
          <a:ln w="6350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98000"/>
            </a:schemeClr>
          </a:solidFill>
          <a:ln w="10160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Summary!$F$14</c:f>
              <c:strCache>
                <c:ptCount val="1"/>
                <c:pt idx="0">
                  <c:v>Total</c:v>
                </c:pt>
              </c:strCache>
            </c:strRef>
          </c:tx>
          <c:spPr>
            <a:solidFill>
              <a:schemeClr val="accent2">
                <a:alpha val="98000"/>
              </a:schemeClr>
            </a:solidFill>
            <a:ln w="1016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Summary!$E$15:$E$22</c:f>
              <c:strCache>
                <c:ptCount val="7"/>
                <c:pt idx="0">
                  <c:v>Sunday</c:v>
                </c:pt>
                <c:pt idx="1">
                  <c:v>Monday</c:v>
                </c:pt>
                <c:pt idx="2">
                  <c:v>Tuesday</c:v>
                </c:pt>
                <c:pt idx="3">
                  <c:v>Wednesday</c:v>
                </c:pt>
                <c:pt idx="4">
                  <c:v>Thursday</c:v>
                </c:pt>
                <c:pt idx="5">
                  <c:v>Friday</c:v>
                </c:pt>
                <c:pt idx="6">
                  <c:v>Saturday</c:v>
                </c:pt>
              </c:strCache>
            </c:strRef>
          </c:cat>
          <c:val>
            <c:numRef>
              <c:f>Summary!$F$15:$F$22</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530F-4C15-ABAF-484A17D64C03}"/>
            </c:ext>
          </c:extLst>
        </c:ser>
        <c:dLbls>
          <c:dLblPos val="outEnd"/>
          <c:showLegendKey val="0"/>
          <c:showVal val="1"/>
          <c:showCatName val="0"/>
          <c:showSerName val="0"/>
          <c:showPercent val="0"/>
          <c:showBubbleSize val="0"/>
        </c:dLbls>
        <c:gapWidth val="182"/>
        <c:axId val="183687231"/>
        <c:axId val="401132207"/>
      </c:barChart>
      <c:catAx>
        <c:axId val="18368723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crossAx val="401132207"/>
        <c:crosses val="autoZero"/>
        <c:auto val="1"/>
        <c:lblAlgn val="ctr"/>
        <c:lblOffset val="100"/>
        <c:noMultiLvlLbl val="0"/>
      </c:catAx>
      <c:valAx>
        <c:axId val="401132207"/>
        <c:scaling>
          <c:orientation val="minMax"/>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crossAx val="18368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[excel-portfolio-project.xlsx]Summary!Montly Trend</c:name>
    <c:fmtId val="28"/>
  </c:pivotSource>
  <c:chart>
    <c:title>
      <c:tx>
        <c:rich>
          <a:bodyPr rot="0" spcFirstLastPara="1" vertOverflow="ellipsis" vert="horz" wrap="square" anchor="ctr" anchorCtr="1"/>
          <a:lstStyle/>
          <a:p>
            <a:pPr algn="ctr">
              <a:defRPr lang="en-US" sz="3200" b="1" i="0" u="none" strike="noStrike" kern="1200" spc="0" baseline="0">
                <a:solidFill>
                  <a:schemeClr val="accent2"/>
                </a:solidFill>
                <a:latin typeface="+mj-lt"/>
                <a:ea typeface="+mn-ea"/>
                <a:cs typeface="+mn-cs"/>
              </a:defRPr>
            </a:pPr>
            <a:r>
              <a:rPr lang="en-US" sz="3200" b="1" i="0" u="none" strike="noStrike" kern="1200" baseline="0">
                <a:solidFill>
                  <a:schemeClr val="accent2"/>
                </a:solidFill>
                <a:latin typeface="+mj-lt"/>
                <a:ea typeface="+mn-ea"/>
                <a:cs typeface="+mn-cs"/>
              </a:rPr>
              <a:t>Call Trend</a:t>
            </a:r>
          </a:p>
        </c:rich>
      </c:tx>
      <c:layout>
        <c:manualLayout>
          <c:xMode val="edge"/>
          <c:yMode val="edge"/>
          <c:x val="3.9064055343249547E-2"/>
          <c:y val="1.3333333333333334E-2"/>
        </c:manualLayout>
      </c:layout>
      <c:overlay val="0"/>
      <c:spPr>
        <a:noFill/>
        <a:ln>
          <a:noFill/>
        </a:ln>
        <a:effectLst/>
      </c:spPr>
      <c:txPr>
        <a:bodyPr rot="0" spcFirstLastPara="1" vertOverflow="ellipsis" vert="horz" wrap="square" anchor="ctr" anchorCtr="1"/>
        <a:lstStyle/>
        <a:p>
          <a:pPr algn="ctr">
            <a:defRPr lang="en-US" sz="3200" b="1" i="0" u="none" strike="noStrike" kern="1200" spc="0" baseline="0">
              <a:solidFill>
                <a:schemeClr val="accent2"/>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24000">
                <a:schemeClr val="accent2">
                  <a:lumMod val="76000"/>
                </a:schemeClr>
              </a:gs>
              <a:gs pos="73000">
                <a:schemeClr val="accent2">
                  <a:alpha val="80000"/>
                  <a:lumMod val="92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circle"/>
          <c:size val="5"/>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Summary!$C$14</c:f>
              <c:strCache>
                <c:ptCount val="1"/>
                <c:pt idx="0">
                  <c:v>Call Count2</c:v>
                </c:pt>
              </c:strCache>
            </c:strRef>
          </c:tx>
          <c:spPr>
            <a:gradFill>
              <a:gsLst>
                <a:gs pos="24000">
                  <a:schemeClr val="accent2">
                    <a:lumMod val="76000"/>
                  </a:schemeClr>
                </a:gs>
                <a:gs pos="73000">
                  <a:schemeClr val="accent2">
                    <a:alpha val="80000"/>
                    <a:lumMod val="92000"/>
                  </a:schemeClr>
                </a:gs>
              </a:gsLst>
              <a:lin ang="5400000" scaled="1"/>
            </a:gradFill>
            <a:ln>
              <a:noFill/>
            </a:ln>
            <a:effectLst/>
          </c:spPr>
          <c:cat>
            <c:strRef>
              <c:f>Summary!$A$15:$A$27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Summary!$C$15:$C$27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5775-4268-BE87-2F07AA593BAE}"/>
            </c:ext>
          </c:extLst>
        </c:ser>
        <c:dLbls>
          <c:showLegendKey val="0"/>
          <c:showVal val="0"/>
          <c:showCatName val="0"/>
          <c:showSerName val="0"/>
          <c:showPercent val="0"/>
          <c:showBubbleSize val="0"/>
        </c:dLbls>
        <c:axId val="1121952847"/>
        <c:axId val="401167247"/>
      </c:areaChart>
      <c:lineChart>
        <c:grouping val="standard"/>
        <c:varyColors val="0"/>
        <c:ser>
          <c:idx val="0"/>
          <c:order val="0"/>
          <c:tx>
            <c:strRef>
              <c:f>Summary!$B$14</c:f>
              <c:strCache>
                <c:ptCount val="1"/>
                <c:pt idx="0">
                  <c:v>Call Count</c:v>
                </c:pt>
              </c:strCache>
            </c:strRef>
          </c:tx>
          <c:spPr>
            <a:ln w="28575" cap="rnd">
              <a:solidFill>
                <a:schemeClr val="accent2">
                  <a:lumMod val="50000"/>
                </a:schemeClr>
              </a:solidFill>
              <a:round/>
            </a:ln>
            <a:effectLst/>
          </c:spPr>
          <c:marker>
            <c:symbol val="circle"/>
            <c:size val="5"/>
            <c:spPr>
              <a:solidFill>
                <a:schemeClr val="bg1"/>
              </a:solidFill>
              <a:ln w="25400">
                <a:solidFill>
                  <a:schemeClr val="tx1">
                    <a:lumMod val="95000"/>
                    <a:lumOff val="5000"/>
                  </a:schemeClr>
                </a:solidFill>
              </a:ln>
              <a:effectLst/>
            </c:spPr>
          </c:marker>
          <c:cat>
            <c:strRef>
              <c:f>Summary!$A$15:$A$27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Summary!$B$15:$B$27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5775-4268-BE87-2F07AA593BAE}"/>
            </c:ext>
          </c:extLst>
        </c:ser>
        <c:dLbls>
          <c:showLegendKey val="0"/>
          <c:showVal val="0"/>
          <c:showCatName val="0"/>
          <c:showSerName val="0"/>
          <c:showPercent val="0"/>
          <c:showBubbleSize val="0"/>
        </c:dLbls>
        <c:marker val="1"/>
        <c:smooth val="0"/>
        <c:axId val="1121952847"/>
        <c:axId val="401167247"/>
      </c:lineChart>
      <c:catAx>
        <c:axId val="1121952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crossAx val="401167247"/>
        <c:crosses val="autoZero"/>
        <c:auto val="1"/>
        <c:lblAlgn val="ctr"/>
        <c:lblOffset val="100"/>
        <c:noMultiLvlLbl val="0"/>
      </c:catAx>
      <c:valAx>
        <c:axId val="401167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crossAx val="112195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400" b="1" i="0" u="none" strike="noStrike" kern="1200" spc="0" baseline="0">
                <a:solidFill>
                  <a:schemeClr val="accent2"/>
                </a:solidFill>
                <a:latin typeface="+mj-lt"/>
                <a:ea typeface="+mn-ea"/>
                <a:cs typeface="+mn-cs"/>
              </a:defRPr>
            </a:pPr>
            <a:r>
              <a:rPr lang="en-US" sz="2400">
                <a:solidFill>
                  <a:schemeClr val="accent2"/>
                </a:solidFill>
                <a:latin typeface="+mj-lt"/>
              </a:rPr>
              <a:t>Amount</a:t>
            </a:r>
          </a:p>
        </c:rich>
      </c:tx>
      <c:overlay val="0"/>
      <c:spPr>
        <a:noFill/>
        <a:ln>
          <a:noFill/>
        </a:ln>
        <a:effectLst/>
      </c:spPr>
      <c:txPr>
        <a:bodyPr rot="0" spcFirstLastPara="1" vertOverflow="ellipsis" vert="horz" wrap="square" anchor="ctr" anchorCtr="1"/>
        <a:lstStyle/>
        <a:p>
          <a:pPr>
            <a:defRPr lang="en-US" sz="2400" b="1" i="0" u="none" strike="noStrike" kern="1200" spc="0" baseline="0">
              <a:solidFill>
                <a:schemeClr val="accent2"/>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dLbl>
              <c:idx val="4"/>
              <c:tx>
                <c:rich>
                  <a:bodyPr/>
                  <a:lstStyle/>
                  <a:p>
                    <a:fld id="{C1074327-5981-4ED3-851A-99A7D8154B50}" type="VALUE">
                      <a:rPr lang="en-US" sz="1400" b="1" i="0" u="none" strike="noStrike" kern="1200" baseline="0">
                        <a:solidFill>
                          <a:schemeClr val="tx1">
                            <a:lumMod val="75000"/>
                            <a:lumOff val="25000"/>
                          </a:schemeClr>
                        </a:solidFill>
                        <a:latin typeface="+mj-lt"/>
                        <a:ea typeface="+mn-ea"/>
                        <a:cs typeface="+mn-cs"/>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AF9-4AA3-AE54-34790C9D4518}"/>
                </c:ext>
              </c:extLst>
            </c:dLbl>
            <c:spPr>
              <a:noFill/>
              <a:ln>
                <a:noFill/>
              </a:ln>
              <a:effectLst/>
            </c:spPr>
            <c:txPr>
              <a:bodyPr rot="0" spcFirstLastPara="1" vertOverflow="ellipsis" vert="horz" wrap="square" anchor="ctr" anchorCtr="0"/>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Summary!$E$33:$E$37</c:f>
              <c:strCache>
                <c:ptCount val="5"/>
                <c:pt idx="0">
                  <c:v>R01</c:v>
                </c:pt>
                <c:pt idx="1">
                  <c:v>R02</c:v>
                </c:pt>
                <c:pt idx="2">
                  <c:v>R03</c:v>
                </c:pt>
                <c:pt idx="3">
                  <c:v>R04</c:v>
                </c:pt>
                <c:pt idx="4">
                  <c:v>R05</c:v>
                </c:pt>
              </c:strCache>
            </c:strRef>
          </c:cat>
          <c:val>
            <c:numRef>
              <c:f>Summary!$F$33:$F$37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AF9-4AA3-AE54-34790C9D4518}"/>
            </c:ext>
          </c:extLst>
        </c:ser>
        <c:ser>
          <c:idx val="1"/>
          <c:order val="1"/>
          <c:tx>
            <c:strRef>
              <c:f>Summary!$H$32</c:f>
              <c:strCache>
                <c:ptCount val="1"/>
                <c:pt idx="0">
                  <c:v>rep.Amount</c:v>
                </c:pt>
              </c:strCache>
            </c:strRef>
          </c:tx>
          <c:spPr>
            <a:gradFill flip="none" rotWithShape="1">
              <a:gsLst>
                <a:gs pos="0">
                  <a:schemeClr val="accent2"/>
                </a:gs>
                <a:gs pos="100000">
                  <a:schemeClr val="accent2">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anchor="ctr" anchorCtr="0"/>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Summary!$H$33:$H$37</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1-AAF9-4AA3-AE54-34790C9D4518}"/>
            </c:ext>
          </c:extLst>
        </c:ser>
        <c:dLbls>
          <c:dLblPos val="outEnd"/>
          <c:showLegendKey val="0"/>
          <c:showVal val="1"/>
          <c:showCatName val="0"/>
          <c:showSerName val="0"/>
          <c:showPercent val="0"/>
          <c:showBubbleSize val="0"/>
        </c:dLbls>
        <c:gapWidth val="60"/>
        <c:overlap val="100"/>
        <c:axId val="1183711423"/>
        <c:axId val="401223407"/>
      </c:barChart>
      <c:catAx>
        <c:axId val="118371142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crossAx val="401223407"/>
        <c:crosses val="autoZero"/>
        <c:auto val="1"/>
        <c:lblAlgn val="ctr"/>
        <c:lblOffset val="100"/>
        <c:noMultiLvlLbl val="0"/>
      </c:catAx>
      <c:valAx>
        <c:axId val="401223407"/>
        <c:scaling>
          <c:orientation val="minMax"/>
        </c:scaling>
        <c:delete val="1"/>
        <c:axPos val="t"/>
        <c:numFmt formatCode="&quot;$&quot;#,###.0,.&quot;k&quot;" sourceLinked="1"/>
        <c:majorTickMark val="out"/>
        <c:minorTickMark val="none"/>
        <c:tickLblPos val="nextTo"/>
        <c:crossAx val="118371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rgbClr val="FF0000"/>
                </a:solidFill>
                <a:latin typeface="+mj-lt"/>
                <a:ea typeface="+mn-ea"/>
                <a:cs typeface="+mn-cs"/>
              </a:defRPr>
            </a:pPr>
            <a:r>
              <a:rPr lang="en-US" sz="2400" b="1">
                <a:solidFill>
                  <a:srgbClr val="FF0000"/>
                </a:solidFill>
                <a:latin typeface="+mj-lt"/>
              </a:rPr>
              <a:t>Calls</a:t>
            </a: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FF0000"/>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Summary!$E$33:$E$37</c:f>
              <c:strCache>
                <c:ptCount val="5"/>
                <c:pt idx="0">
                  <c:v>R01</c:v>
                </c:pt>
                <c:pt idx="1">
                  <c:v>R02</c:v>
                </c:pt>
                <c:pt idx="2">
                  <c:v>R03</c:v>
                </c:pt>
                <c:pt idx="3">
                  <c:v>R04</c:v>
                </c:pt>
                <c:pt idx="4">
                  <c:v>R05</c:v>
                </c:pt>
              </c:strCache>
            </c:strRef>
          </c:cat>
          <c:val>
            <c:numRef>
              <c:f>Summary!$G$33:$G$37</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0CAF-4DAD-917A-B8D41A8F08BF}"/>
            </c:ext>
          </c:extLst>
        </c:ser>
        <c:ser>
          <c:idx val="1"/>
          <c:order val="1"/>
          <c:tx>
            <c:strRef>
              <c:f>Summary!$I$32</c:f>
              <c:strCache>
                <c:ptCount val="1"/>
                <c:pt idx="0">
                  <c:v>rep.Calls </c:v>
                </c:pt>
              </c:strCache>
            </c:strRef>
          </c:tx>
          <c:spPr>
            <a:gradFill>
              <a:gsLst>
                <a:gs pos="0">
                  <a:srgbClr val="FF0000"/>
                </a:gs>
                <a:gs pos="100000">
                  <a:schemeClr val="accent2">
                    <a:lumMod val="40000"/>
                    <a:lumOff val="60000"/>
                  </a:scheme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Summary!$I$33:$I$37</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0CAF-4DAD-917A-B8D41A8F08BF}"/>
            </c:ext>
          </c:extLst>
        </c:ser>
        <c:dLbls>
          <c:dLblPos val="outEnd"/>
          <c:showLegendKey val="0"/>
          <c:showVal val="1"/>
          <c:showCatName val="0"/>
          <c:showSerName val="0"/>
          <c:showPercent val="0"/>
          <c:showBubbleSize val="0"/>
        </c:dLbls>
        <c:gapWidth val="60"/>
        <c:overlap val="100"/>
        <c:axId val="1183748367"/>
        <c:axId val="401197487"/>
      </c:barChart>
      <c:catAx>
        <c:axId val="11837483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crossAx val="401197487"/>
        <c:crosses val="autoZero"/>
        <c:auto val="1"/>
        <c:lblAlgn val="ctr"/>
        <c:lblOffset val="100"/>
        <c:noMultiLvlLbl val="0"/>
      </c:catAx>
      <c:valAx>
        <c:axId val="401197487"/>
        <c:scaling>
          <c:orientation val="minMax"/>
          <c:min val="0"/>
        </c:scaling>
        <c:delete val="1"/>
        <c:axPos val="t"/>
        <c:numFmt formatCode="0" sourceLinked="1"/>
        <c:majorTickMark val="none"/>
        <c:minorTickMark val="none"/>
        <c:tickLblPos val="nextTo"/>
        <c:crossAx val="118374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[excel-portfolio-project.xlsx]Summary!M vs F callers</c:name>
    <c:fmtId val="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chemeClr val="accent2"/>
                </a:solidFill>
                <a:latin typeface="+mj-lt"/>
              </a:rPr>
              <a:t>Female</a:t>
            </a:r>
            <a:r>
              <a:rPr lang="en-US" sz="2000">
                <a:latin typeface="+mj-lt"/>
              </a:rPr>
              <a:t> vs </a:t>
            </a:r>
            <a:r>
              <a:rPr lang="en-US" sz="2000">
                <a:solidFill>
                  <a:schemeClr val="accent6"/>
                </a:solidFill>
                <a:latin typeface="+mj-lt"/>
              </a:rPr>
              <a:t>Male </a:t>
            </a:r>
            <a:r>
              <a:rPr lang="en-US" sz="2000">
                <a:latin typeface="+mj-lt"/>
              </a:rPr>
              <a:t>Callers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accent2">
                <a:lumMod val="20000"/>
                <a:lumOff val="80000"/>
                <a:alpha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solidFill>
              <a:schemeClr val="accent1">
                <a:lumMod val="20000"/>
                <a:lumOff val="80000"/>
                <a:alpha val="44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accent2">
                <a:lumMod val="20000"/>
                <a:lumOff val="80000"/>
                <a:alpha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solidFill>
              <a:schemeClr val="accent1">
                <a:lumMod val="20000"/>
                <a:lumOff val="80000"/>
                <a:alpha val="44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accent2">
                <a:lumMod val="20000"/>
                <a:lumOff val="80000"/>
                <a:alpha val="50000"/>
              </a:schemeClr>
            </a:solid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solidFill>
              <a:schemeClr val="accent1">
                <a:lumMod val="20000"/>
                <a:lumOff val="80000"/>
                <a:alpha val="44000"/>
              </a:schemeClr>
            </a:solid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Summary!$B$42:$B$43</c:f>
              <c:strCache>
                <c:ptCount val="1"/>
                <c:pt idx="0">
                  <c:v>Female</c:v>
                </c:pt>
              </c:strCache>
            </c:strRef>
          </c:tx>
          <c:spPr>
            <a:solidFill>
              <a:schemeClr val="accent2"/>
            </a:solidFill>
            <a:ln>
              <a:noFill/>
            </a:ln>
            <a:effectLst/>
          </c:spPr>
          <c:invertIfNegative val="0"/>
          <c:dLbls>
            <c:spPr>
              <a:solidFill>
                <a:schemeClr val="accent2">
                  <a:lumMod val="20000"/>
                  <a:lumOff val="80000"/>
                  <a:alpha val="50000"/>
                </a:schemeClr>
              </a:solid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Summary!$A$44:$A$47</c:f>
              <c:strCache>
                <c:ptCount val="3"/>
                <c:pt idx="0">
                  <c:v>Cincinnati</c:v>
                </c:pt>
                <c:pt idx="1">
                  <c:v>Cleveland</c:v>
                </c:pt>
                <c:pt idx="2">
                  <c:v>Columbus</c:v>
                </c:pt>
              </c:strCache>
            </c:strRef>
          </c:cat>
          <c:val>
            <c:numRef>
              <c:f>Summary!$B$44:$B$47</c:f>
              <c:numCache>
                <c:formatCode>0</c:formatCode>
                <c:ptCount val="3"/>
                <c:pt idx="0">
                  <c:v>144</c:v>
                </c:pt>
                <c:pt idx="1">
                  <c:v>326</c:v>
                </c:pt>
                <c:pt idx="2">
                  <c:v>129</c:v>
                </c:pt>
              </c:numCache>
            </c:numRef>
          </c:val>
          <c:extLst>
            <c:ext xmlns:c16="http://schemas.microsoft.com/office/drawing/2014/chart" uri="{C3380CC4-5D6E-409C-BE32-E72D297353CC}">
              <c16:uniqueId val="{00000000-E167-4C6E-9EE6-D522FF31BB38}"/>
            </c:ext>
          </c:extLst>
        </c:ser>
        <c:ser>
          <c:idx val="1"/>
          <c:order val="1"/>
          <c:tx>
            <c:strRef>
              <c:f>Summary!$C$42:$C$43</c:f>
              <c:strCache>
                <c:ptCount val="1"/>
                <c:pt idx="0">
                  <c:v>Male</c:v>
                </c:pt>
              </c:strCache>
            </c:strRef>
          </c:tx>
          <c:spPr>
            <a:solidFill>
              <a:schemeClr val="accent6"/>
            </a:solidFill>
            <a:ln>
              <a:noFill/>
            </a:ln>
            <a:effectLst/>
          </c:spPr>
          <c:invertIfNegative val="0"/>
          <c:dLbls>
            <c:spPr>
              <a:solidFill>
                <a:schemeClr val="accent1">
                  <a:lumMod val="20000"/>
                  <a:lumOff val="80000"/>
                  <a:alpha val="44000"/>
                </a:schemeClr>
              </a:solid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Summary!$A$44:$A$47</c:f>
              <c:strCache>
                <c:ptCount val="3"/>
                <c:pt idx="0">
                  <c:v>Cincinnati</c:v>
                </c:pt>
                <c:pt idx="1">
                  <c:v>Cleveland</c:v>
                </c:pt>
                <c:pt idx="2">
                  <c:v>Columbus</c:v>
                </c:pt>
              </c:strCache>
            </c:strRef>
          </c:cat>
          <c:val>
            <c:numRef>
              <c:f>Summary!$C$44:$C$47</c:f>
              <c:numCache>
                <c:formatCode>0</c:formatCode>
                <c:ptCount val="3"/>
                <c:pt idx="0">
                  <c:v>132</c:v>
                </c:pt>
                <c:pt idx="1">
                  <c:v>63</c:v>
                </c:pt>
                <c:pt idx="2">
                  <c:v>206</c:v>
                </c:pt>
              </c:numCache>
            </c:numRef>
          </c:val>
          <c:extLst>
            <c:ext xmlns:c16="http://schemas.microsoft.com/office/drawing/2014/chart" uri="{C3380CC4-5D6E-409C-BE32-E72D297353CC}">
              <c16:uniqueId val="{00000001-E167-4C6E-9EE6-D522FF31BB38}"/>
            </c:ext>
          </c:extLst>
        </c:ser>
        <c:dLbls>
          <c:dLblPos val="ctr"/>
          <c:showLegendKey val="0"/>
          <c:showVal val="1"/>
          <c:showCatName val="0"/>
          <c:showSerName val="0"/>
          <c:showPercent val="0"/>
          <c:showBubbleSize val="0"/>
        </c:dLbls>
        <c:gapWidth val="150"/>
        <c:overlap val="100"/>
        <c:axId val="1183772031"/>
        <c:axId val="401166287"/>
      </c:barChart>
      <c:catAx>
        <c:axId val="118377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j-lt"/>
                <a:ea typeface="+mn-ea"/>
                <a:cs typeface="+mn-cs"/>
              </a:defRPr>
            </a:pPr>
            <a:endParaRPr lang="en-US"/>
          </a:p>
        </c:txPr>
        <c:crossAx val="401166287"/>
        <c:crosses val="autoZero"/>
        <c:auto val="1"/>
        <c:lblAlgn val="ctr"/>
        <c:lblOffset val="100"/>
        <c:noMultiLvlLbl val="0"/>
      </c:catAx>
      <c:valAx>
        <c:axId val="4011662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j-lt"/>
                <a:ea typeface="+mn-ea"/>
                <a:cs typeface="+mn-cs"/>
              </a:defRPr>
            </a:pPr>
            <a:endParaRPr lang="en-US"/>
          </a:p>
        </c:txPr>
        <c:crossAx val="118377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[excel-portfolio-project.xlsx]Summary!Rating_G</c:name>
    <c:fmtId val="8"/>
  </c:pivotSource>
  <c:chart>
    <c:title>
      <c:tx>
        <c:rich>
          <a:bodyPr rot="0" spcFirstLastPara="1" vertOverflow="ellipsis" vert="horz" wrap="square" anchor="ctr" anchorCtr="1"/>
          <a:lstStyle/>
          <a:p>
            <a:pPr>
              <a:defRPr lang="en-US" sz="1680" b="1" i="0" u="none" strike="noStrike" kern="1200" spc="0" baseline="0">
                <a:solidFill>
                  <a:schemeClr val="tx1">
                    <a:lumMod val="75000"/>
                    <a:lumOff val="25000"/>
                  </a:schemeClr>
                </a:solidFill>
                <a:latin typeface="+mj-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lang="en-US" sz="1680" b="1" i="0" u="none" strike="noStrike" kern="1200" spc="0" baseline="0">
              <a:solidFill>
                <a:schemeClr val="tx1">
                  <a:lumMod val="75000"/>
                  <a:lumOff val="2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col"/>
        <c:grouping val="clustered"/>
        <c:varyColors val="0"/>
        <c:ser>
          <c:idx val="0"/>
          <c:order val="0"/>
          <c:tx>
            <c:strRef>
              <c:f>Summary!$B$50</c:f>
              <c:strCache>
                <c:ptCount val="1"/>
                <c:pt idx="0">
                  <c:v>Total</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584-481F-939B-8EA206D3D8C9}"/>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2-247C-4B86-8CDD-FC1CFA4DF0B4}"/>
              </c:ext>
            </c:extLst>
          </c:dPt>
          <c:dPt>
            <c:idx val="4"/>
            <c:invertIfNegative val="0"/>
            <c:bubble3D val="0"/>
            <c:extLst>
              <c:ext xmlns:c16="http://schemas.microsoft.com/office/drawing/2014/chart" uri="{C3380CC4-5D6E-409C-BE32-E72D297353CC}">
                <c16:uniqueId val="{00000001-18D0-44A6-9777-693021560F84}"/>
              </c:ext>
            </c:extLst>
          </c:dPt>
          <c:dLbls>
            <c:spPr>
              <a:noFill/>
              <a:ln>
                <a:noFill/>
              </a:ln>
              <a:effectLst/>
            </c:spPr>
            <c:txPr>
              <a:bodyPr rot="0" spcFirstLastPara="1" vertOverflow="ellipsis" vert="horz" wrap="square" anchor="ctr" anchorCtr="1"/>
              <a:lstStyle/>
              <a:p>
                <a:pPr>
                  <a:defRPr lang="en-US"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Summary!$A$51:$A$56</c:f>
              <c:strCache>
                <c:ptCount val="5"/>
                <c:pt idx="0">
                  <c:v>1</c:v>
                </c:pt>
                <c:pt idx="1">
                  <c:v>2</c:v>
                </c:pt>
                <c:pt idx="2">
                  <c:v>3</c:v>
                </c:pt>
                <c:pt idx="3">
                  <c:v>4</c:v>
                </c:pt>
                <c:pt idx="4">
                  <c:v>5</c:v>
                </c:pt>
              </c:strCache>
            </c:strRef>
          </c:cat>
          <c:val>
            <c:numRef>
              <c:f>Summary!$B$51:$B$56</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2-18D0-44A6-9777-693021560F84}"/>
            </c:ext>
          </c:extLst>
        </c:ser>
        <c:dLbls>
          <c:dLblPos val="outEnd"/>
          <c:showLegendKey val="0"/>
          <c:showVal val="1"/>
          <c:showCatName val="0"/>
          <c:showSerName val="0"/>
          <c:showPercent val="0"/>
          <c:showBubbleSize val="0"/>
        </c:dLbls>
        <c:gapWidth val="40"/>
        <c:overlap val="-27"/>
        <c:axId val="1067460159"/>
        <c:axId val="401145167"/>
      </c:barChart>
      <c:catAx>
        <c:axId val="1067460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lumMod val="75000"/>
                    <a:lumOff val="25000"/>
                  </a:schemeClr>
                </a:solidFill>
                <a:latin typeface="+mj-lt"/>
                <a:ea typeface="+mn-ea"/>
                <a:cs typeface="+mn-cs"/>
              </a:defRPr>
            </a:pPr>
            <a:endParaRPr lang="en-US"/>
          </a:p>
        </c:txPr>
        <c:crossAx val="401145167"/>
        <c:crosses val="autoZero"/>
        <c:auto val="1"/>
        <c:lblAlgn val="ctr"/>
        <c:lblOffset val="100"/>
        <c:noMultiLvlLbl val="0"/>
      </c:catAx>
      <c:valAx>
        <c:axId val="401145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tx1">
                    <a:lumMod val="75000"/>
                    <a:lumOff val="25000"/>
                  </a:schemeClr>
                </a:solidFill>
                <a:latin typeface="+mj-lt"/>
                <a:ea typeface="+mn-ea"/>
                <a:cs typeface="+mn-cs"/>
              </a:defRPr>
            </a:pPr>
            <a:endParaRPr lang="en-US"/>
          </a:p>
        </c:txPr>
        <c:crossAx val="106746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400" b="1" i="0" u="none" strike="noStrike" kern="1200" baseline="0">
          <a:solidFill>
            <a:schemeClr val="tx1">
              <a:lumMod val="75000"/>
              <a:lumOff val="25000"/>
            </a:schemeClr>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93399</xdr:colOff>
      <xdr:row>28</xdr:row>
      <xdr:rowOff>1481</xdr:rowOff>
    </xdr:from>
    <xdr:to>
      <xdr:col>13</xdr:col>
      <xdr:colOff>673902</xdr:colOff>
      <xdr:row>37</xdr:row>
      <xdr:rowOff>118255</xdr:rowOff>
    </xdr:to>
    <mc:AlternateContent xmlns:mc="http://schemas.openxmlformats.org/markup-compatibility/2006" xmlns:a14="http://schemas.microsoft.com/office/drawing/2010/main">
      <mc:Choice Requires="a14">
        <xdr:graphicFrame macro="">
          <xdr:nvGraphicFramePr>
            <xdr:cNvPr id="4" name="Representative">
              <a:extLst>
                <a:ext uri="{FF2B5EF4-FFF2-40B4-BE49-F238E27FC236}">
                  <a16:creationId xmlns:a16="http://schemas.microsoft.com/office/drawing/2014/main" id="{4ED2D66C-7E19-4497-AE4E-BDE1587C7E6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0883319" y="5167841"/>
              <a:ext cx="1479663" cy="2174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45027</xdr:colOff>
      <xdr:row>7</xdr:row>
      <xdr:rowOff>91442</xdr:rowOff>
    </xdr:from>
    <xdr:to>
      <xdr:col>3</xdr:col>
      <xdr:colOff>261851</xdr:colOff>
      <xdr:row>13</xdr:row>
      <xdr:rowOff>94904</xdr:rowOff>
    </xdr:to>
    <xdr:sp macro="" textlink="">
      <xdr:nvSpPr>
        <xdr:cNvPr id="2" name="Rectangle 1">
          <a:extLst>
            <a:ext uri="{FF2B5EF4-FFF2-40B4-BE49-F238E27FC236}">
              <a16:creationId xmlns:a16="http://schemas.microsoft.com/office/drawing/2014/main" id="{B1143F09-7459-E2E3-7006-DD9966C84A8B}"/>
            </a:ext>
          </a:extLst>
        </xdr:cNvPr>
        <xdr:cNvSpPr/>
      </xdr:nvSpPr>
      <xdr:spPr>
        <a:xfrm>
          <a:off x="945572" y="1352206"/>
          <a:ext cx="2017915" cy="1084116"/>
        </a:xfrm>
        <a:prstGeom prst="rect">
          <a:avLst/>
        </a:prstGeom>
        <a:solidFill>
          <a:schemeClr val="accent2">
            <a:lumMod val="75000"/>
          </a:schemeClr>
        </a:solidFill>
        <a:ln w="28575"/>
        <a:effectLst>
          <a:glow rad="25400">
            <a:schemeClr val="accent1">
              <a:alpha val="40000"/>
            </a:schemeClr>
          </a:glow>
          <a:outerShdw blurRad="635000" dist="38100" dir="2700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i="0" baseline="0"/>
        </a:p>
      </xdr:txBody>
    </xdr:sp>
    <xdr:clientData/>
  </xdr:twoCellAnchor>
  <xdr:twoCellAnchor editAs="oneCell">
    <xdr:from>
      <xdr:col>1</xdr:col>
      <xdr:colOff>52296</xdr:colOff>
      <xdr:row>7</xdr:row>
      <xdr:rowOff>139977</xdr:rowOff>
    </xdr:from>
    <xdr:to>
      <xdr:col>1</xdr:col>
      <xdr:colOff>409810</xdr:colOff>
      <xdr:row>9</xdr:row>
      <xdr:rowOff>121272</xdr:rowOff>
    </xdr:to>
    <xdr:pic>
      <xdr:nvPicPr>
        <xdr:cNvPr id="13" name="Graphic 12" descr="Receiver with solid fill">
          <a:extLst>
            <a:ext uri="{FF2B5EF4-FFF2-40B4-BE49-F238E27FC236}">
              <a16:creationId xmlns:a16="http://schemas.microsoft.com/office/drawing/2014/main" id="{74B5CC96-57BB-4CAA-B6CE-D4CD2E2716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263700">
          <a:off x="952841" y="1400741"/>
          <a:ext cx="357514" cy="341513"/>
        </a:xfrm>
        <a:prstGeom prst="rect">
          <a:avLst/>
        </a:prstGeom>
      </xdr:spPr>
    </xdr:pic>
    <xdr:clientData/>
  </xdr:twoCellAnchor>
  <xdr:twoCellAnchor>
    <xdr:from>
      <xdr:col>1</xdr:col>
      <xdr:colOff>29096</xdr:colOff>
      <xdr:row>22</xdr:row>
      <xdr:rowOff>131619</xdr:rowOff>
    </xdr:from>
    <xdr:to>
      <xdr:col>3</xdr:col>
      <xdr:colOff>264623</xdr:colOff>
      <xdr:row>28</xdr:row>
      <xdr:rowOff>141316</xdr:rowOff>
    </xdr:to>
    <xdr:sp macro="" textlink="">
      <xdr:nvSpPr>
        <xdr:cNvPr id="18" name="Rectangle 17">
          <a:extLst>
            <a:ext uri="{FF2B5EF4-FFF2-40B4-BE49-F238E27FC236}">
              <a16:creationId xmlns:a16="http://schemas.microsoft.com/office/drawing/2014/main" id="{BBAA4072-FA9B-4660-ADF3-90B9EB6AA714}"/>
            </a:ext>
          </a:extLst>
        </xdr:cNvPr>
        <xdr:cNvSpPr/>
      </xdr:nvSpPr>
      <xdr:spPr>
        <a:xfrm>
          <a:off x="929641" y="4094019"/>
          <a:ext cx="2036618" cy="1145770"/>
        </a:xfrm>
        <a:prstGeom prst="rect">
          <a:avLst/>
        </a:prstGeom>
        <a:solidFill>
          <a:schemeClr val="accent2">
            <a:lumMod val="75000"/>
          </a:schemeClr>
        </a:solidFill>
        <a:ln w="28575"/>
        <a:effectLst>
          <a:glow rad="25400">
            <a:schemeClr val="accent1">
              <a:alpha val="40000"/>
            </a:schemeClr>
          </a:glow>
          <a:outerShdw blurRad="635000" dist="38100" dir="2700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i="0" baseline="0"/>
        </a:p>
      </xdr:txBody>
    </xdr:sp>
    <xdr:clientData/>
  </xdr:twoCellAnchor>
  <xdr:twoCellAnchor>
    <xdr:from>
      <xdr:col>1</xdr:col>
      <xdr:colOff>479665</xdr:colOff>
      <xdr:row>25</xdr:row>
      <xdr:rowOff>22566</xdr:rowOff>
    </xdr:from>
    <xdr:to>
      <xdr:col>2</xdr:col>
      <xdr:colOff>738745</xdr:colOff>
      <xdr:row>26</xdr:row>
      <xdr:rowOff>80755</xdr:rowOff>
    </xdr:to>
    <xdr:sp macro="" textlink="Summary!C4">
      <xdr:nvSpPr>
        <xdr:cNvPr id="19" name="TextBox 18">
          <a:extLst>
            <a:ext uri="{FF2B5EF4-FFF2-40B4-BE49-F238E27FC236}">
              <a16:creationId xmlns:a16="http://schemas.microsoft.com/office/drawing/2014/main" id="{D1AFD1EE-8A86-4F6E-8664-42E7B55EFBC2}"/>
            </a:ext>
          </a:extLst>
        </xdr:cNvPr>
        <xdr:cNvSpPr txBox="1"/>
      </xdr:nvSpPr>
      <xdr:spPr>
        <a:xfrm>
          <a:off x="1380210" y="4525293"/>
          <a:ext cx="1159626" cy="23829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7AD062-CE0F-46F6-A24F-63DD5A431E39}" type="TxLink">
            <a:rPr lang="en-US" sz="2800" b="0" i="0" u="none" strike="noStrike">
              <a:ln>
                <a:solidFill>
                  <a:schemeClr val="accent2">
                    <a:lumMod val="75000"/>
                  </a:schemeClr>
                </a:solidFill>
              </a:ln>
              <a:solidFill>
                <a:schemeClr val="bg2"/>
              </a:solidFill>
              <a:latin typeface="+mj-lt"/>
              <a:ea typeface="+mn-ea"/>
              <a:cs typeface="+mn-cs"/>
            </a:rPr>
            <a:pPr marL="0" indent="0" algn="ctr"/>
            <a:t>89850</a:t>
          </a:fld>
          <a:endParaRPr lang="en-US" sz="2800" b="0" i="0" u="none" strike="noStrike">
            <a:ln>
              <a:solidFill>
                <a:schemeClr val="accent2">
                  <a:lumMod val="75000"/>
                </a:schemeClr>
              </a:solidFill>
            </a:ln>
            <a:solidFill>
              <a:schemeClr val="bg2"/>
            </a:solidFill>
            <a:latin typeface="+mj-lt"/>
            <a:ea typeface="+mn-ea"/>
            <a:cs typeface="+mn-cs"/>
          </a:endParaRPr>
        </a:p>
      </xdr:txBody>
    </xdr:sp>
    <xdr:clientData/>
  </xdr:twoCellAnchor>
  <xdr:twoCellAnchor>
    <xdr:from>
      <xdr:col>1</xdr:col>
      <xdr:colOff>529739</xdr:colOff>
      <xdr:row>23</xdr:row>
      <xdr:rowOff>1884</xdr:rowOff>
    </xdr:from>
    <xdr:to>
      <xdr:col>2</xdr:col>
      <xdr:colOff>697379</xdr:colOff>
      <xdr:row>24</xdr:row>
      <xdr:rowOff>88376</xdr:rowOff>
    </xdr:to>
    <xdr:sp macro="" textlink="">
      <xdr:nvSpPr>
        <xdr:cNvPr id="22" name="TextBox 21">
          <a:extLst>
            <a:ext uri="{FF2B5EF4-FFF2-40B4-BE49-F238E27FC236}">
              <a16:creationId xmlns:a16="http://schemas.microsoft.com/office/drawing/2014/main" id="{E48FC6BE-1864-4023-B8C6-49754C8C600D}"/>
            </a:ext>
          </a:extLst>
        </xdr:cNvPr>
        <xdr:cNvSpPr txBox="1"/>
      </xdr:nvSpPr>
      <xdr:spPr>
        <a:xfrm>
          <a:off x="1430284" y="4144393"/>
          <a:ext cx="1068186" cy="26660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2"/>
              </a:solidFill>
              <a:latin typeface="+mj-lt"/>
              <a:ea typeface="+mn-ea"/>
              <a:cs typeface="+mn-cs"/>
            </a:rPr>
            <a:t>Duration</a:t>
          </a:r>
        </a:p>
        <a:p>
          <a:pPr algn="ctr"/>
          <a:endParaRPr lang="en-US" sz="1100">
            <a:solidFill>
              <a:schemeClr val="bg2"/>
            </a:solidFill>
            <a:latin typeface="+mj-lt"/>
          </a:endParaRPr>
        </a:p>
      </xdr:txBody>
    </xdr:sp>
    <xdr:clientData/>
  </xdr:twoCellAnchor>
  <xdr:twoCellAnchor>
    <xdr:from>
      <xdr:col>1</xdr:col>
      <xdr:colOff>533005</xdr:colOff>
      <xdr:row>27</xdr:row>
      <xdr:rowOff>18212</xdr:rowOff>
    </xdr:from>
    <xdr:to>
      <xdr:col>2</xdr:col>
      <xdr:colOff>654925</xdr:colOff>
      <xdr:row>28</xdr:row>
      <xdr:rowOff>28602</xdr:rowOff>
    </xdr:to>
    <xdr:sp macro="" textlink="Summary!C9">
      <xdr:nvSpPr>
        <xdr:cNvPr id="23" name="TextBox 22">
          <a:extLst>
            <a:ext uri="{FF2B5EF4-FFF2-40B4-BE49-F238E27FC236}">
              <a16:creationId xmlns:a16="http://schemas.microsoft.com/office/drawing/2014/main" id="{160A69D1-1E2A-4930-9D44-B8F25E7CCBC1}"/>
            </a:ext>
          </a:extLst>
        </xdr:cNvPr>
        <xdr:cNvSpPr txBox="1"/>
      </xdr:nvSpPr>
      <xdr:spPr>
        <a:xfrm>
          <a:off x="1433550" y="4881157"/>
          <a:ext cx="1022466" cy="24591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9A80C5-7B25-4665-9C2E-0305CDC82271}" type="TxLink">
            <a:rPr lang="en-US" sz="1400" b="0" i="0" u="none" strike="noStrike">
              <a:ln>
                <a:noFill/>
              </a:ln>
              <a:solidFill>
                <a:schemeClr val="bg1"/>
              </a:solidFill>
              <a:latin typeface="+mj-lt"/>
              <a:ea typeface="+mn-ea"/>
              <a:cs typeface="+mn-cs"/>
            </a:rPr>
            <a:pPr marL="0" indent="0" algn="ctr"/>
            <a:t>17807</a:t>
          </a:fld>
          <a:endParaRPr lang="en-US" sz="1400" b="0" i="0" u="none" strike="noStrike">
            <a:ln>
              <a:noFill/>
            </a:ln>
            <a:solidFill>
              <a:schemeClr val="bg1"/>
            </a:solidFill>
            <a:latin typeface="+mj-lt"/>
            <a:ea typeface="+mn-ea"/>
            <a:cs typeface="+mn-cs"/>
          </a:endParaRPr>
        </a:p>
      </xdr:txBody>
    </xdr:sp>
    <xdr:clientData/>
  </xdr:twoCellAnchor>
  <xdr:twoCellAnchor>
    <xdr:from>
      <xdr:col>1</xdr:col>
      <xdr:colOff>34337</xdr:colOff>
      <xdr:row>14</xdr:row>
      <xdr:rowOff>101198</xdr:rowOff>
    </xdr:from>
    <xdr:to>
      <xdr:col>3</xdr:col>
      <xdr:colOff>252154</xdr:colOff>
      <xdr:row>21</xdr:row>
      <xdr:rowOff>87283</xdr:rowOff>
    </xdr:to>
    <xdr:sp macro="" textlink="">
      <xdr:nvSpPr>
        <xdr:cNvPr id="24" name="Rectangle 23">
          <a:extLst>
            <a:ext uri="{FF2B5EF4-FFF2-40B4-BE49-F238E27FC236}">
              <a16:creationId xmlns:a16="http://schemas.microsoft.com/office/drawing/2014/main" id="{F4E2203D-B123-3408-FC73-11819E9D5D77}"/>
            </a:ext>
          </a:extLst>
        </xdr:cNvPr>
        <xdr:cNvSpPr/>
      </xdr:nvSpPr>
      <xdr:spPr>
        <a:xfrm>
          <a:off x="934882" y="2622725"/>
          <a:ext cx="2018908" cy="1246849"/>
        </a:xfrm>
        <a:prstGeom prst="rect">
          <a:avLst/>
        </a:prstGeom>
        <a:solidFill>
          <a:schemeClr val="accent2">
            <a:lumMod val="75000"/>
          </a:schemeClr>
        </a:solidFill>
        <a:ln w="28575"/>
        <a:effectLst>
          <a:glow rad="25400">
            <a:schemeClr val="accent1">
              <a:alpha val="40000"/>
            </a:schemeClr>
          </a:glow>
          <a:outerShdw blurRad="635000" dist="38100" dir="2700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i="0" baseline="0"/>
        </a:p>
      </xdr:txBody>
    </xdr:sp>
    <xdr:clientData/>
  </xdr:twoCellAnchor>
  <xdr:twoCellAnchor>
    <xdr:from>
      <xdr:col>1</xdr:col>
      <xdr:colOff>262162</xdr:colOff>
      <xdr:row>16</xdr:row>
      <xdr:rowOff>131449</xdr:rowOff>
    </xdr:from>
    <xdr:to>
      <xdr:col>2</xdr:col>
      <xdr:colOff>868229</xdr:colOff>
      <xdr:row>18</xdr:row>
      <xdr:rowOff>120805</xdr:rowOff>
    </xdr:to>
    <xdr:sp macro="" textlink="Summary!D4">
      <xdr:nvSpPr>
        <xdr:cNvPr id="25" name="TextBox 24">
          <a:extLst>
            <a:ext uri="{FF2B5EF4-FFF2-40B4-BE49-F238E27FC236}">
              <a16:creationId xmlns:a16="http://schemas.microsoft.com/office/drawing/2014/main" id="{B19E2133-FC3D-A8CC-E74B-BD2A345B3C64}"/>
            </a:ext>
          </a:extLst>
        </xdr:cNvPr>
        <xdr:cNvSpPr txBox="1"/>
      </xdr:nvSpPr>
      <xdr:spPr>
        <a:xfrm>
          <a:off x="1162707" y="3013194"/>
          <a:ext cx="1506613" cy="349575"/>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F5DC6A-4E4C-4B94-ADAB-4700675C00E0}" type="TxLink">
            <a:rPr lang="en-US" sz="2800" b="0" i="0" u="none" strike="noStrike">
              <a:ln>
                <a:solidFill>
                  <a:schemeClr val="accent2">
                    <a:lumMod val="75000"/>
                  </a:schemeClr>
                </a:solidFill>
              </a:ln>
              <a:solidFill>
                <a:schemeClr val="bg2"/>
              </a:solidFill>
              <a:latin typeface="+mj-lt"/>
              <a:ea typeface="+mn-ea"/>
              <a:cs typeface="+mn-cs"/>
            </a:rPr>
            <a:pPr marL="0" indent="0" algn="ctr"/>
            <a:t>$96,623</a:t>
          </a:fld>
          <a:endParaRPr lang="en-US" sz="2800" b="0" i="0" u="none" strike="noStrike">
            <a:ln>
              <a:solidFill>
                <a:schemeClr val="accent2">
                  <a:lumMod val="75000"/>
                </a:schemeClr>
              </a:solidFill>
            </a:ln>
            <a:solidFill>
              <a:schemeClr val="bg2"/>
            </a:solidFill>
            <a:latin typeface="+mj-lt"/>
            <a:ea typeface="+mn-ea"/>
            <a:cs typeface="+mn-cs"/>
          </a:endParaRPr>
        </a:p>
      </xdr:txBody>
    </xdr:sp>
    <xdr:clientData/>
  </xdr:twoCellAnchor>
  <xdr:twoCellAnchor>
    <xdr:from>
      <xdr:col>1</xdr:col>
      <xdr:colOff>533005</xdr:colOff>
      <xdr:row>15</xdr:row>
      <xdr:rowOff>12769</xdr:rowOff>
    </xdr:from>
    <xdr:to>
      <xdr:col>2</xdr:col>
      <xdr:colOff>700645</xdr:colOff>
      <xdr:row>16</xdr:row>
      <xdr:rowOff>99261</xdr:rowOff>
    </xdr:to>
    <xdr:sp macro="" textlink="">
      <xdr:nvSpPr>
        <xdr:cNvPr id="26" name="TextBox 25">
          <a:extLst>
            <a:ext uri="{FF2B5EF4-FFF2-40B4-BE49-F238E27FC236}">
              <a16:creationId xmlns:a16="http://schemas.microsoft.com/office/drawing/2014/main" id="{8083D561-0934-FDAA-70C6-6D9900341DC6}"/>
            </a:ext>
          </a:extLst>
        </xdr:cNvPr>
        <xdr:cNvSpPr txBox="1"/>
      </xdr:nvSpPr>
      <xdr:spPr>
        <a:xfrm>
          <a:off x="1433550" y="2714405"/>
          <a:ext cx="1068186" cy="26660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latin typeface="+mj-lt"/>
            </a:rPr>
            <a:t>Calls</a:t>
          </a:r>
        </a:p>
        <a:p>
          <a:pPr algn="ctr"/>
          <a:endParaRPr lang="en-US" sz="1100">
            <a:solidFill>
              <a:schemeClr val="bg2"/>
            </a:solidFill>
            <a:latin typeface="+mj-lt"/>
          </a:endParaRPr>
        </a:p>
      </xdr:txBody>
    </xdr:sp>
    <xdr:clientData/>
  </xdr:twoCellAnchor>
  <xdr:twoCellAnchor>
    <xdr:from>
      <xdr:col>1</xdr:col>
      <xdr:colOff>528156</xdr:colOff>
      <xdr:row>14</xdr:row>
      <xdr:rowOff>171403</xdr:rowOff>
    </xdr:from>
    <xdr:to>
      <xdr:col>2</xdr:col>
      <xdr:colOff>695796</xdr:colOff>
      <xdr:row>16</xdr:row>
      <xdr:rowOff>77786</xdr:rowOff>
    </xdr:to>
    <xdr:sp macro="" textlink="">
      <xdr:nvSpPr>
        <xdr:cNvPr id="28" name="TextBox 27">
          <a:extLst>
            <a:ext uri="{FF2B5EF4-FFF2-40B4-BE49-F238E27FC236}">
              <a16:creationId xmlns:a16="http://schemas.microsoft.com/office/drawing/2014/main" id="{57D967AE-30B2-B5DC-135D-03B94EAD00DE}"/>
            </a:ext>
          </a:extLst>
        </xdr:cNvPr>
        <xdr:cNvSpPr txBox="1"/>
      </xdr:nvSpPr>
      <xdr:spPr>
        <a:xfrm>
          <a:off x="1428701" y="2692930"/>
          <a:ext cx="1068186" cy="26660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2"/>
              </a:solidFill>
              <a:latin typeface="+mj-lt"/>
              <a:ea typeface="+mn-ea"/>
              <a:cs typeface="+mn-cs"/>
            </a:rPr>
            <a:t>Amount</a:t>
          </a:r>
        </a:p>
        <a:p>
          <a:pPr algn="ctr"/>
          <a:endParaRPr lang="en-US" sz="1100">
            <a:solidFill>
              <a:schemeClr val="bg2"/>
            </a:solidFill>
            <a:latin typeface="+mj-lt"/>
          </a:endParaRPr>
        </a:p>
      </xdr:txBody>
    </xdr:sp>
    <xdr:clientData/>
  </xdr:twoCellAnchor>
  <xdr:twoCellAnchor>
    <xdr:from>
      <xdr:col>1</xdr:col>
      <xdr:colOff>533005</xdr:colOff>
      <xdr:row>19</xdr:row>
      <xdr:rowOff>10591</xdr:rowOff>
    </xdr:from>
    <xdr:to>
      <xdr:col>2</xdr:col>
      <xdr:colOff>654925</xdr:colOff>
      <xdr:row>20</xdr:row>
      <xdr:rowOff>124297</xdr:rowOff>
    </xdr:to>
    <xdr:sp macro="" textlink="Summary!D9">
      <xdr:nvSpPr>
        <xdr:cNvPr id="29" name="TextBox 28">
          <a:extLst>
            <a:ext uri="{FF2B5EF4-FFF2-40B4-BE49-F238E27FC236}">
              <a16:creationId xmlns:a16="http://schemas.microsoft.com/office/drawing/2014/main" id="{9F31A92B-13F0-2410-61D7-1C9CC3018555}"/>
            </a:ext>
          </a:extLst>
        </xdr:cNvPr>
        <xdr:cNvSpPr txBox="1"/>
      </xdr:nvSpPr>
      <xdr:spPr>
        <a:xfrm>
          <a:off x="1433550" y="3432664"/>
          <a:ext cx="1022466" cy="293815"/>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CA0A35-C4AF-4D7B-9C78-81DFD57ABE68}" type="TxLink">
            <a:rPr lang="en-US" sz="1400" b="0" i="0" u="none" strike="noStrike">
              <a:ln>
                <a:noFill/>
              </a:ln>
              <a:solidFill>
                <a:schemeClr val="bg1"/>
              </a:solidFill>
              <a:latin typeface="+mj-lt"/>
              <a:ea typeface="+mn-ea"/>
              <a:cs typeface="+mn-cs"/>
            </a:rPr>
            <a:pPr marL="0" indent="0" algn="ctr"/>
            <a:t>$16,651</a:t>
          </a:fld>
          <a:endParaRPr lang="en-US" sz="1400" b="0" i="0" u="none" strike="noStrike">
            <a:ln>
              <a:noFill/>
            </a:ln>
            <a:solidFill>
              <a:schemeClr val="bg1"/>
            </a:solidFill>
            <a:latin typeface="+mj-lt"/>
            <a:ea typeface="+mn-ea"/>
            <a:cs typeface="+mn-cs"/>
          </a:endParaRPr>
        </a:p>
      </xdr:txBody>
    </xdr:sp>
    <xdr:clientData/>
  </xdr:twoCellAnchor>
  <xdr:twoCellAnchor>
    <xdr:from>
      <xdr:col>1</xdr:col>
      <xdr:colOff>13854</xdr:colOff>
      <xdr:row>29</xdr:row>
      <xdr:rowOff>83127</xdr:rowOff>
    </xdr:from>
    <xdr:to>
      <xdr:col>3</xdr:col>
      <xdr:colOff>264124</xdr:colOff>
      <xdr:row>34</xdr:row>
      <xdr:rowOff>204872</xdr:rowOff>
    </xdr:to>
    <xdr:sp macro="" textlink="">
      <xdr:nvSpPr>
        <xdr:cNvPr id="37" name="Rectangle 36">
          <a:extLst>
            <a:ext uri="{FF2B5EF4-FFF2-40B4-BE49-F238E27FC236}">
              <a16:creationId xmlns:a16="http://schemas.microsoft.com/office/drawing/2014/main" id="{150A4DA4-4E4F-485F-A443-E9A21A8E30F9}"/>
            </a:ext>
          </a:extLst>
        </xdr:cNvPr>
        <xdr:cNvSpPr/>
      </xdr:nvSpPr>
      <xdr:spPr>
        <a:xfrm>
          <a:off x="914399" y="5417127"/>
          <a:ext cx="2051361" cy="1299381"/>
        </a:xfrm>
        <a:prstGeom prst="rect">
          <a:avLst/>
        </a:prstGeom>
        <a:solidFill>
          <a:schemeClr val="accent2">
            <a:lumMod val="75000"/>
          </a:schemeClr>
        </a:solidFill>
        <a:ln w="28575"/>
        <a:effectLst>
          <a:glow rad="25400">
            <a:schemeClr val="accent1">
              <a:alpha val="40000"/>
            </a:schemeClr>
          </a:glow>
          <a:outerShdw blurRad="635000" dist="38100" dir="2700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i="0" baseline="0"/>
        </a:p>
      </xdr:txBody>
    </xdr:sp>
    <xdr:clientData/>
  </xdr:twoCellAnchor>
  <xdr:twoCellAnchor>
    <xdr:from>
      <xdr:col>1</xdr:col>
      <xdr:colOff>433945</xdr:colOff>
      <xdr:row>30</xdr:row>
      <xdr:rowOff>221972</xdr:rowOff>
    </xdr:from>
    <xdr:to>
      <xdr:col>2</xdr:col>
      <xdr:colOff>693025</xdr:colOff>
      <xdr:row>32</xdr:row>
      <xdr:rowOff>97875</xdr:rowOff>
    </xdr:to>
    <xdr:sp macro="" textlink="Summary!B4">
      <xdr:nvSpPr>
        <xdr:cNvPr id="38" name="TextBox 37">
          <a:extLst>
            <a:ext uri="{FF2B5EF4-FFF2-40B4-BE49-F238E27FC236}">
              <a16:creationId xmlns:a16="http://schemas.microsoft.com/office/drawing/2014/main" id="{F0E84E9C-095F-4820-AF63-3EC3DB550421}"/>
            </a:ext>
          </a:extLst>
        </xdr:cNvPr>
        <xdr:cNvSpPr txBox="1"/>
      </xdr:nvSpPr>
      <xdr:spPr>
        <a:xfrm>
          <a:off x="1334490" y="5791499"/>
          <a:ext cx="1159626" cy="34695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C643D9-3FBF-4900-B4DC-1E1B7788D4BC}" type="TxLink">
            <a:rPr lang="en-US" sz="2400" b="0" i="0" u="none" strike="noStrike">
              <a:ln>
                <a:solidFill>
                  <a:schemeClr val="accent2">
                    <a:lumMod val="75000"/>
                  </a:schemeClr>
                </a:solidFill>
              </a:ln>
              <a:solidFill>
                <a:schemeClr val="bg2"/>
              </a:solidFill>
              <a:latin typeface="+mj-lt"/>
              <a:ea typeface="+mn-ea"/>
              <a:cs typeface="+mn-cs"/>
            </a:rPr>
            <a:pPr marL="0" indent="0" algn="ctr"/>
            <a:t>4.0</a:t>
          </a:fld>
          <a:endParaRPr lang="en-US" sz="2400" b="0" i="0" u="none" strike="noStrike">
            <a:ln>
              <a:solidFill>
                <a:schemeClr val="accent2">
                  <a:lumMod val="75000"/>
                </a:schemeClr>
              </a:solidFill>
            </a:ln>
            <a:solidFill>
              <a:schemeClr val="bg2"/>
            </a:solidFill>
            <a:latin typeface="+mj-lt"/>
            <a:ea typeface="+mn-ea"/>
            <a:cs typeface="+mn-cs"/>
          </a:endParaRPr>
        </a:p>
      </xdr:txBody>
    </xdr:sp>
    <xdr:clientData/>
  </xdr:twoCellAnchor>
  <xdr:twoCellAnchor>
    <xdr:from>
      <xdr:col>1</xdr:col>
      <xdr:colOff>487285</xdr:colOff>
      <xdr:row>29</xdr:row>
      <xdr:rowOff>153292</xdr:rowOff>
    </xdr:from>
    <xdr:to>
      <xdr:col>2</xdr:col>
      <xdr:colOff>654925</xdr:colOff>
      <xdr:row>30</xdr:row>
      <xdr:rowOff>191492</xdr:rowOff>
    </xdr:to>
    <xdr:sp macro="" textlink="">
      <xdr:nvSpPr>
        <xdr:cNvPr id="39" name="TextBox 38">
          <a:extLst>
            <a:ext uri="{FF2B5EF4-FFF2-40B4-BE49-F238E27FC236}">
              <a16:creationId xmlns:a16="http://schemas.microsoft.com/office/drawing/2014/main" id="{8E48A3E3-DE0F-4C09-991E-BECF14B0DC70}"/>
            </a:ext>
          </a:extLst>
        </xdr:cNvPr>
        <xdr:cNvSpPr txBox="1"/>
      </xdr:nvSpPr>
      <xdr:spPr>
        <a:xfrm>
          <a:off x="1387830" y="5487292"/>
          <a:ext cx="1068186" cy="273727"/>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latin typeface="+mj-lt"/>
            </a:rPr>
            <a:t>Calls</a:t>
          </a:r>
        </a:p>
        <a:p>
          <a:pPr algn="ctr"/>
          <a:endParaRPr lang="en-US" sz="1100">
            <a:solidFill>
              <a:schemeClr val="bg2"/>
            </a:solidFill>
            <a:latin typeface="+mj-lt"/>
          </a:endParaRPr>
        </a:p>
      </xdr:txBody>
    </xdr:sp>
    <xdr:clientData/>
  </xdr:twoCellAnchor>
  <xdr:twoCellAnchor>
    <xdr:from>
      <xdr:col>1</xdr:col>
      <xdr:colOff>510145</xdr:colOff>
      <xdr:row>29</xdr:row>
      <xdr:rowOff>145672</xdr:rowOff>
    </xdr:from>
    <xdr:to>
      <xdr:col>2</xdr:col>
      <xdr:colOff>677785</xdr:colOff>
      <xdr:row>30</xdr:row>
      <xdr:rowOff>183872</xdr:rowOff>
    </xdr:to>
    <xdr:sp macro="" textlink="">
      <xdr:nvSpPr>
        <xdr:cNvPr id="41" name="TextBox 40">
          <a:extLst>
            <a:ext uri="{FF2B5EF4-FFF2-40B4-BE49-F238E27FC236}">
              <a16:creationId xmlns:a16="http://schemas.microsoft.com/office/drawing/2014/main" id="{2E93BED0-60FF-4D63-82E1-EEEE7511EFE0}"/>
            </a:ext>
          </a:extLst>
        </xdr:cNvPr>
        <xdr:cNvSpPr txBox="1"/>
      </xdr:nvSpPr>
      <xdr:spPr>
        <a:xfrm>
          <a:off x="1410690" y="5479672"/>
          <a:ext cx="1068186" cy="273727"/>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2"/>
              </a:solidFill>
              <a:latin typeface="+mj-lt"/>
            </a:rPr>
            <a:t>Avg</a:t>
          </a:r>
          <a:r>
            <a:rPr lang="en-US" sz="1100">
              <a:solidFill>
                <a:schemeClr val="bg2"/>
              </a:solidFill>
              <a:latin typeface="+mj-lt"/>
            </a:rPr>
            <a:t>.</a:t>
          </a:r>
          <a:r>
            <a:rPr lang="en-US" sz="1400">
              <a:solidFill>
                <a:schemeClr val="bg2"/>
              </a:solidFill>
              <a:latin typeface="+mj-lt"/>
            </a:rPr>
            <a:t>Rating</a:t>
          </a:r>
        </a:p>
        <a:p>
          <a:pPr algn="ctr"/>
          <a:endParaRPr lang="en-US" sz="1100">
            <a:solidFill>
              <a:schemeClr val="bg2"/>
            </a:solidFill>
            <a:latin typeface="+mj-lt"/>
          </a:endParaRPr>
        </a:p>
      </xdr:txBody>
    </xdr:sp>
    <xdr:clientData/>
  </xdr:twoCellAnchor>
  <xdr:twoCellAnchor>
    <xdr:from>
      <xdr:col>1</xdr:col>
      <xdr:colOff>487285</xdr:colOff>
      <xdr:row>32</xdr:row>
      <xdr:rowOff>176252</xdr:rowOff>
    </xdr:from>
    <xdr:to>
      <xdr:col>2</xdr:col>
      <xdr:colOff>609205</xdr:colOff>
      <xdr:row>34</xdr:row>
      <xdr:rowOff>105496</xdr:rowOff>
    </xdr:to>
    <xdr:sp macro="" textlink="Summary!B9">
      <xdr:nvSpPr>
        <xdr:cNvPr id="42" name="TextBox 41">
          <a:extLst>
            <a:ext uri="{FF2B5EF4-FFF2-40B4-BE49-F238E27FC236}">
              <a16:creationId xmlns:a16="http://schemas.microsoft.com/office/drawing/2014/main" id="{EE1D470D-CFC2-46A9-A582-A546482B6D59}"/>
            </a:ext>
          </a:extLst>
        </xdr:cNvPr>
        <xdr:cNvSpPr txBox="1"/>
      </xdr:nvSpPr>
      <xdr:spPr>
        <a:xfrm>
          <a:off x="1387830" y="6216834"/>
          <a:ext cx="1022466" cy="40029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E3FA0E-58FF-4CAF-A2FA-BC96319BC89F}" type="TxLink">
            <a:rPr lang="en-US" sz="1100" b="0" i="0" u="none" strike="noStrike">
              <a:ln>
                <a:noFill/>
              </a:ln>
              <a:solidFill>
                <a:schemeClr val="bg1"/>
              </a:solidFill>
              <a:latin typeface="+mj-lt"/>
              <a:ea typeface="+mn-ea"/>
              <a:cs typeface="+mn-cs"/>
            </a:rPr>
            <a:pPr marL="0" indent="0" algn="ctr"/>
            <a:t>4.0</a:t>
          </a:fld>
          <a:endParaRPr lang="en-US" sz="1100" b="0" i="0" u="none" strike="noStrike">
            <a:ln>
              <a:noFill/>
            </a:ln>
            <a:solidFill>
              <a:schemeClr val="bg1"/>
            </a:solidFill>
            <a:latin typeface="+mj-lt"/>
            <a:ea typeface="+mn-ea"/>
            <a:cs typeface="+mn-cs"/>
          </a:endParaRPr>
        </a:p>
      </xdr:txBody>
    </xdr:sp>
    <xdr:clientData/>
  </xdr:twoCellAnchor>
  <xdr:twoCellAnchor>
    <xdr:from>
      <xdr:col>0</xdr:col>
      <xdr:colOff>886691</xdr:colOff>
      <xdr:row>35</xdr:row>
      <xdr:rowOff>180109</xdr:rowOff>
    </xdr:from>
    <xdr:to>
      <xdr:col>3</xdr:col>
      <xdr:colOff>258883</xdr:colOff>
      <xdr:row>41</xdr:row>
      <xdr:rowOff>211774</xdr:rowOff>
    </xdr:to>
    <xdr:sp macro="" textlink="">
      <xdr:nvSpPr>
        <xdr:cNvPr id="43" name="Rectangle 42">
          <a:extLst>
            <a:ext uri="{FF2B5EF4-FFF2-40B4-BE49-F238E27FC236}">
              <a16:creationId xmlns:a16="http://schemas.microsoft.com/office/drawing/2014/main" id="{EE8A5F93-C8E7-4355-A05B-99E8C9149A71}"/>
            </a:ext>
          </a:extLst>
        </xdr:cNvPr>
        <xdr:cNvSpPr/>
      </xdr:nvSpPr>
      <xdr:spPr>
        <a:xfrm>
          <a:off x="886691" y="6927273"/>
          <a:ext cx="2073828" cy="1444828"/>
        </a:xfrm>
        <a:prstGeom prst="rect">
          <a:avLst/>
        </a:prstGeom>
        <a:solidFill>
          <a:schemeClr val="accent2">
            <a:lumMod val="75000"/>
          </a:schemeClr>
        </a:solidFill>
        <a:ln w="28575"/>
        <a:effectLst>
          <a:glow rad="25400">
            <a:schemeClr val="accent1">
              <a:alpha val="40000"/>
            </a:schemeClr>
          </a:glow>
          <a:outerShdw blurRad="635000" dist="38100" dir="2700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i="0" baseline="0"/>
        </a:p>
      </xdr:txBody>
    </xdr:sp>
    <xdr:clientData/>
  </xdr:twoCellAnchor>
  <xdr:twoCellAnchor>
    <xdr:from>
      <xdr:col>1</xdr:col>
      <xdr:colOff>408765</xdr:colOff>
      <xdr:row>36</xdr:row>
      <xdr:rowOff>82634</xdr:rowOff>
    </xdr:from>
    <xdr:to>
      <xdr:col>2</xdr:col>
      <xdr:colOff>800793</xdr:colOff>
      <xdr:row>37</xdr:row>
      <xdr:rowOff>176252</xdr:rowOff>
    </xdr:to>
    <xdr:sp macro="" textlink="">
      <xdr:nvSpPr>
        <xdr:cNvPr id="47" name="TextBox 46">
          <a:extLst>
            <a:ext uri="{FF2B5EF4-FFF2-40B4-BE49-F238E27FC236}">
              <a16:creationId xmlns:a16="http://schemas.microsoft.com/office/drawing/2014/main" id="{9B6564E7-FC83-41B4-A0FD-6B0C2D5435AB}"/>
            </a:ext>
          </a:extLst>
        </xdr:cNvPr>
        <xdr:cNvSpPr txBox="1"/>
      </xdr:nvSpPr>
      <xdr:spPr>
        <a:xfrm>
          <a:off x="1309310" y="7065325"/>
          <a:ext cx="1292574" cy="329145"/>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2"/>
              </a:solidFill>
              <a:latin typeface="+mj-lt"/>
            </a:rPr>
            <a:t>Happy</a:t>
          </a:r>
          <a:r>
            <a:rPr lang="en-US" sz="1100" baseline="0">
              <a:solidFill>
                <a:schemeClr val="bg2"/>
              </a:solidFill>
              <a:latin typeface="+mj-lt"/>
            </a:rPr>
            <a:t> </a:t>
          </a:r>
          <a:r>
            <a:rPr lang="en-US" sz="1400" baseline="0">
              <a:solidFill>
                <a:schemeClr val="bg2"/>
              </a:solidFill>
              <a:latin typeface="+mj-lt"/>
            </a:rPr>
            <a:t>Caller</a:t>
          </a:r>
          <a:endParaRPr lang="en-US" sz="1400">
            <a:solidFill>
              <a:schemeClr val="bg2"/>
            </a:solidFill>
            <a:latin typeface="+mj-lt"/>
          </a:endParaRPr>
        </a:p>
        <a:p>
          <a:pPr algn="ctr"/>
          <a:endParaRPr lang="en-US" sz="1100">
            <a:solidFill>
              <a:schemeClr val="bg2"/>
            </a:solidFill>
            <a:latin typeface="+mj-lt"/>
          </a:endParaRPr>
        </a:p>
      </xdr:txBody>
    </xdr:sp>
    <xdr:clientData/>
  </xdr:twoCellAnchor>
  <xdr:twoCellAnchor>
    <xdr:from>
      <xdr:col>1</xdr:col>
      <xdr:colOff>530234</xdr:colOff>
      <xdr:row>39</xdr:row>
      <xdr:rowOff>95895</xdr:rowOff>
    </xdr:from>
    <xdr:to>
      <xdr:col>2</xdr:col>
      <xdr:colOff>652154</xdr:colOff>
      <xdr:row>41</xdr:row>
      <xdr:rowOff>25139</xdr:rowOff>
    </xdr:to>
    <xdr:sp macro="" textlink="Summary!A9">
      <xdr:nvSpPr>
        <xdr:cNvPr id="48" name="TextBox 47">
          <a:extLst>
            <a:ext uri="{FF2B5EF4-FFF2-40B4-BE49-F238E27FC236}">
              <a16:creationId xmlns:a16="http://schemas.microsoft.com/office/drawing/2014/main" id="{C3F2D8EF-793A-4652-B983-B76AF620D5CB}"/>
            </a:ext>
          </a:extLst>
        </xdr:cNvPr>
        <xdr:cNvSpPr txBox="1"/>
      </xdr:nvSpPr>
      <xdr:spPr>
        <a:xfrm>
          <a:off x="1430779" y="7785168"/>
          <a:ext cx="1022466" cy="40029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081C8A-BA27-4709-B8F8-AED8ADBA45F0}" type="TxLink">
            <a:rPr lang="en-US" sz="1100" b="0" i="0" u="none" strike="noStrike">
              <a:ln>
                <a:noFill/>
              </a:ln>
              <a:solidFill>
                <a:schemeClr val="bg1"/>
              </a:solidFill>
              <a:latin typeface="+mj-lt"/>
              <a:ea typeface="+mn-ea"/>
              <a:cs typeface="+mn-cs"/>
            </a:rPr>
            <a:pPr marL="0" indent="0" algn="ctr"/>
            <a:t>62</a:t>
          </a:fld>
          <a:endParaRPr lang="en-US" sz="1100" b="0" i="0" u="none" strike="noStrike">
            <a:ln>
              <a:noFill/>
            </a:ln>
            <a:solidFill>
              <a:schemeClr val="bg1"/>
            </a:solidFill>
            <a:latin typeface="+mj-lt"/>
            <a:ea typeface="+mn-ea"/>
            <a:cs typeface="+mn-cs"/>
          </a:endParaRPr>
        </a:p>
      </xdr:txBody>
    </xdr:sp>
    <xdr:clientData/>
  </xdr:twoCellAnchor>
  <xdr:twoCellAnchor editAs="oneCell">
    <xdr:from>
      <xdr:col>0</xdr:col>
      <xdr:colOff>894080</xdr:colOff>
      <xdr:row>35</xdr:row>
      <xdr:rowOff>198949</xdr:rowOff>
    </xdr:from>
    <xdr:to>
      <xdr:col>1</xdr:col>
      <xdr:colOff>400216</xdr:colOff>
      <xdr:row>37</xdr:row>
      <xdr:rowOff>124637</xdr:rowOff>
    </xdr:to>
    <xdr:pic>
      <xdr:nvPicPr>
        <xdr:cNvPr id="49" name="Graphic 48" descr="Star-struck face outline with solid fill">
          <a:extLst>
            <a:ext uri="{FF2B5EF4-FFF2-40B4-BE49-F238E27FC236}">
              <a16:creationId xmlns:a16="http://schemas.microsoft.com/office/drawing/2014/main" id="{B9CA79C5-703F-4BFC-A6F6-4F555DA817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94080" y="6946113"/>
          <a:ext cx="406681" cy="396742"/>
        </a:xfrm>
        <a:prstGeom prst="rect">
          <a:avLst/>
        </a:prstGeom>
      </xdr:spPr>
    </xdr:pic>
    <xdr:clientData/>
  </xdr:twoCellAnchor>
  <xdr:twoCellAnchor editAs="oneCell">
    <xdr:from>
      <xdr:col>1</xdr:col>
      <xdr:colOff>24577</xdr:colOff>
      <xdr:row>22</xdr:row>
      <xdr:rowOff>150982</xdr:rowOff>
    </xdr:from>
    <xdr:to>
      <xdr:col>1</xdr:col>
      <xdr:colOff>419894</xdr:colOff>
      <xdr:row>24</xdr:row>
      <xdr:rowOff>177399</xdr:rowOff>
    </xdr:to>
    <xdr:pic>
      <xdr:nvPicPr>
        <xdr:cNvPr id="50" name="Graphic 49" descr="Call center with solid fill">
          <a:extLst>
            <a:ext uri="{FF2B5EF4-FFF2-40B4-BE49-F238E27FC236}">
              <a16:creationId xmlns:a16="http://schemas.microsoft.com/office/drawing/2014/main" id="{B636C890-5D4C-42F6-BC23-0C1564733F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5122" y="4113382"/>
          <a:ext cx="395317" cy="386635"/>
        </a:xfrm>
        <a:prstGeom prst="rect">
          <a:avLst/>
        </a:prstGeom>
      </xdr:spPr>
    </xdr:pic>
    <xdr:clientData/>
  </xdr:twoCellAnchor>
  <xdr:twoCellAnchor editAs="oneCell">
    <xdr:from>
      <xdr:col>1</xdr:col>
      <xdr:colOff>53785</xdr:colOff>
      <xdr:row>14</xdr:row>
      <xdr:rowOff>101200</xdr:rowOff>
    </xdr:from>
    <xdr:to>
      <xdr:col>1</xdr:col>
      <xdr:colOff>453586</xdr:colOff>
      <xdr:row>16</xdr:row>
      <xdr:rowOff>116593</xdr:rowOff>
    </xdr:to>
    <xdr:pic>
      <xdr:nvPicPr>
        <xdr:cNvPr id="51" name="Graphic 50" descr="Shopping cart with solid fill">
          <a:extLst>
            <a:ext uri="{FF2B5EF4-FFF2-40B4-BE49-F238E27FC236}">
              <a16:creationId xmlns:a16="http://schemas.microsoft.com/office/drawing/2014/main" id="{86BAE174-7708-455D-9020-D9C4F25891B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54330" y="2622727"/>
          <a:ext cx="399801" cy="375611"/>
        </a:xfrm>
        <a:prstGeom prst="rect">
          <a:avLst/>
        </a:prstGeom>
      </xdr:spPr>
    </xdr:pic>
    <xdr:clientData/>
  </xdr:twoCellAnchor>
  <xdr:twoCellAnchor editAs="oneCell">
    <xdr:from>
      <xdr:col>1</xdr:col>
      <xdr:colOff>61306</xdr:colOff>
      <xdr:row>29</xdr:row>
      <xdr:rowOff>18159</xdr:rowOff>
    </xdr:from>
    <xdr:to>
      <xdr:col>1</xdr:col>
      <xdr:colOff>472183</xdr:colOff>
      <xdr:row>30</xdr:row>
      <xdr:rowOff>172941</xdr:rowOff>
    </xdr:to>
    <xdr:pic>
      <xdr:nvPicPr>
        <xdr:cNvPr id="52" name="Graphic 51" descr="Rating Star with solid fill">
          <a:extLst>
            <a:ext uri="{FF2B5EF4-FFF2-40B4-BE49-F238E27FC236}">
              <a16:creationId xmlns:a16="http://schemas.microsoft.com/office/drawing/2014/main" id="{9CAAFC83-242E-419B-8AAA-135EA6B19C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61851" y="5352159"/>
          <a:ext cx="410877" cy="390309"/>
        </a:xfrm>
        <a:prstGeom prst="rect">
          <a:avLst/>
        </a:prstGeom>
      </xdr:spPr>
    </xdr:pic>
    <xdr:clientData/>
  </xdr:twoCellAnchor>
  <xdr:twoCellAnchor>
    <xdr:from>
      <xdr:col>10</xdr:col>
      <xdr:colOff>371105</xdr:colOff>
      <xdr:row>6</xdr:row>
      <xdr:rowOff>167640</xdr:rowOff>
    </xdr:from>
    <xdr:to>
      <xdr:col>13</xdr:col>
      <xdr:colOff>883920</xdr:colOff>
      <xdr:row>27</xdr:row>
      <xdr:rowOff>91440</xdr:rowOff>
    </xdr:to>
    <xdr:graphicFrame macro="">
      <xdr:nvGraphicFramePr>
        <xdr:cNvPr id="6" name="Chart 5">
          <a:extLst>
            <a:ext uri="{FF2B5EF4-FFF2-40B4-BE49-F238E27FC236}">
              <a16:creationId xmlns:a16="http://schemas.microsoft.com/office/drawing/2014/main" id="{D4B4D869-5BD1-44E2-A5AA-7C4777F0E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387679</xdr:colOff>
      <xdr:row>6</xdr:row>
      <xdr:rowOff>142799</xdr:rowOff>
    </xdr:from>
    <xdr:to>
      <xdr:col>10</xdr:col>
      <xdr:colOff>335973</xdr:colOff>
      <xdr:row>27</xdr:row>
      <xdr:rowOff>136814</xdr:rowOff>
    </xdr:to>
    <xdr:graphicFrame macro="">
      <xdr:nvGraphicFramePr>
        <xdr:cNvPr id="5" name="Chart 4">
          <a:extLst>
            <a:ext uri="{FF2B5EF4-FFF2-40B4-BE49-F238E27FC236}">
              <a16:creationId xmlns:a16="http://schemas.microsoft.com/office/drawing/2014/main" id="{2911E37F-84F3-42FD-A610-3CE07717B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387927</xdr:colOff>
      <xdr:row>27</xdr:row>
      <xdr:rowOff>166255</xdr:rowOff>
    </xdr:from>
    <xdr:to>
      <xdr:col>11</xdr:col>
      <xdr:colOff>872837</xdr:colOff>
      <xdr:row>41</xdr:row>
      <xdr:rowOff>221673</xdr:rowOff>
    </xdr:to>
    <xdr:sp macro="" textlink="">
      <xdr:nvSpPr>
        <xdr:cNvPr id="9" name="Rectangle 8">
          <a:extLst>
            <a:ext uri="{FF2B5EF4-FFF2-40B4-BE49-F238E27FC236}">
              <a16:creationId xmlns:a16="http://schemas.microsoft.com/office/drawing/2014/main" id="{0C93C524-8A5B-5394-921C-9FA47E14B254}"/>
            </a:ext>
          </a:extLst>
        </xdr:cNvPr>
        <xdr:cNvSpPr/>
      </xdr:nvSpPr>
      <xdr:spPr>
        <a:xfrm>
          <a:off x="3089563" y="5029200"/>
          <a:ext cx="7689274" cy="3352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461160</xdr:colOff>
      <xdr:row>28</xdr:row>
      <xdr:rowOff>29687</xdr:rowOff>
    </xdr:from>
    <xdr:to>
      <xdr:col>7</xdr:col>
      <xdr:colOff>665019</xdr:colOff>
      <xdr:row>41</xdr:row>
      <xdr:rowOff>96981</xdr:rowOff>
    </xdr:to>
    <xdr:graphicFrame macro="">
      <xdr:nvGraphicFramePr>
        <xdr:cNvPr id="7" name="Chart 6">
          <a:extLst>
            <a:ext uri="{FF2B5EF4-FFF2-40B4-BE49-F238E27FC236}">
              <a16:creationId xmlns:a16="http://schemas.microsoft.com/office/drawing/2014/main" id="{6EF4094E-A215-4FEE-8403-5F4143B1A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823357</xdr:colOff>
      <xdr:row>28</xdr:row>
      <xdr:rowOff>35627</xdr:rowOff>
    </xdr:from>
    <xdr:to>
      <xdr:col>11</xdr:col>
      <xdr:colOff>734291</xdr:colOff>
      <xdr:row>41</xdr:row>
      <xdr:rowOff>96983</xdr:rowOff>
    </xdr:to>
    <xdr:graphicFrame macro="">
      <xdr:nvGraphicFramePr>
        <xdr:cNvPr id="8" name="Chart 7">
          <a:extLst>
            <a:ext uri="{FF2B5EF4-FFF2-40B4-BE49-F238E27FC236}">
              <a16:creationId xmlns:a16="http://schemas.microsoft.com/office/drawing/2014/main" id="{9DF75F47-7F5D-4113-B171-05A80799C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45720</xdr:colOff>
      <xdr:row>7</xdr:row>
      <xdr:rowOff>0</xdr:rowOff>
    </xdr:from>
    <xdr:to>
      <xdr:col>17</xdr:col>
      <xdr:colOff>787978</xdr:colOff>
      <xdr:row>26</xdr:row>
      <xdr:rowOff>45029</xdr:rowOff>
    </xdr:to>
    <xdr:graphicFrame macro="">
      <xdr:nvGraphicFramePr>
        <xdr:cNvPr id="10" name="Chart 9">
          <a:extLst>
            <a:ext uri="{FF2B5EF4-FFF2-40B4-BE49-F238E27FC236}">
              <a16:creationId xmlns:a16="http://schemas.microsoft.com/office/drawing/2014/main" id="{2002ADCD-2B50-47BF-BC22-475C02E64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792480</xdr:colOff>
      <xdr:row>7</xdr:row>
      <xdr:rowOff>0</xdr:rowOff>
    </xdr:from>
    <xdr:to>
      <xdr:col>21</xdr:col>
      <xdr:colOff>45720</xdr:colOff>
      <xdr:row>26</xdr:row>
      <xdr:rowOff>41564</xdr:rowOff>
    </xdr:to>
    <xdr:graphicFrame macro="">
      <xdr:nvGraphicFramePr>
        <xdr:cNvPr id="12" name="Chart 11">
          <a:extLst>
            <a:ext uri="{FF2B5EF4-FFF2-40B4-BE49-F238E27FC236}">
              <a16:creationId xmlns:a16="http://schemas.microsoft.com/office/drawing/2014/main" id="{B38F600D-AE3A-4D9D-AA7E-3FE394F05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479665</xdr:colOff>
      <xdr:row>9</xdr:row>
      <xdr:rowOff>147961</xdr:rowOff>
    </xdr:from>
    <xdr:to>
      <xdr:col>2</xdr:col>
      <xdr:colOff>738745</xdr:colOff>
      <xdr:row>11</xdr:row>
      <xdr:rowOff>30991</xdr:rowOff>
    </xdr:to>
    <xdr:sp macro="" textlink="Summary!E4">
      <xdr:nvSpPr>
        <xdr:cNvPr id="14" name="TextBox 13">
          <a:extLst>
            <a:ext uri="{FF2B5EF4-FFF2-40B4-BE49-F238E27FC236}">
              <a16:creationId xmlns:a16="http://schemas.microsoft.com/office/drawing/2014/main" id="{B15F8E44-5263-20D0-04E5-8814CB9B0C49}"/>
            </a:ext>
          </a:extLst>
        </xdr:cNvPr>
        <xdr:cNvSpPr txBox="1"/>
      </xdr:nvSpPr>
      <xdr:spPr>
        <a:xfrm>
          <a:off x="1380210" y="1768943"/>
          <a:ext cx="1159626" cy="24324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24C446-9A56-403E-9A2D-1F431414CC44}" type="TxLink">
            <a:rPr lang="en-US" sz="2800" b="0" i="0" u="none" strike="noStrike">
              <a:ln>
                <a:solidFill>
                  <a:schemeClr val="accent2">
                    <a:lumMod val="75000"/>
                  </a:schemeClr>
                </a:solidFill>
              </a:ln>
              <a:solidFill>
                <a:schemeClr val="bg2"/>
              </a:solidFill>
              <a:latin typeface="+mj-lt"/>
            </a:rPr>
            <a:pPr algn="ctr"/>
            <a:t>1000</a:t>
          </a:fld>
          <a:endParaRPr lang="en-US" sz="2800">
            <a:ln>
              <a:solidFill>
                <a:schemeClr val="accent2">
                  <a:lumMod val="75000"/>
                </a:schemeClr>
              </a:solidFill>
            </a:ln>
            <a:solidFill>
              <a:schemeClr val="bg2"/>
            </a:solidFill>
            <a:latin typeface="+mj-lt"/>
          </a:endParaRPr>
        </a:p>
      </xdr:txBody>
    </xdr:sp>
    <xdr:clientData/>
  </xdr:twoCellAnchor>
  <xdr:twoCellAnchor>
    <xdr:from>
      <xdr:col>1</xdr:col>
      <xdr:colOff>533005</xdr:colOff>
      <xdr:row>7</xdr:row>
      <xdr:rowOff>127279</xdr:rowOff>
    </xdr:from>
    <xdr:to>
      <xdr:col>2</xdr:col>
      <xdr:colOff>700645</xdr:colOff>
      <xdr:row>9</xdr:row>
      <xdr:rowOff>36432</xdr:rowOff>
    </xdr:to>
    <xdr:sp macro="" textlink="">
      <xdr:nvSpPr>
        <xdr:cNvPr id="17" name="TextBox 16">
          <a:extLst>
            <a:ext uri="{FF2B5EF4-FFF2-40B4-BE49-F238E27FC236}">
              <a16:creationId xmlns:a16="http://schemas.microsoft.com/office/drawing/2014/main" id="{83AF4C01-581E-5F5D-291E-1A4A9BC15F3A}"/>
            </a:ext>
          </a:extLst>
        </xdr:cNvPr>
        <xdr:cNvSpPr txBox="1"/>
      </xdr:nvSpPr>
      <xdr:spPr>
        <a:xfrm>
          <a:off x="1433550" y="1388043"/>
          <a:ext cx="1068186" cy="26937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2"/>
              </a:solidFill>
              <a:latin typeface="+mj-lt"/>
              <a:ea typeface="+mn-ea"/>
              <a:cs typeface="+mn-cs"/>
            </a:rPr>
            <a:t>Calls</a:t>
          </a:r>
        </a:p>
        <a:p>
          <a:pPr algn="ctr"/>
          <a:endParaRPr lang="en-US" sz="1100">
            <a:solidFill>
              <a:schemeClr val="bg2"/>
            </a:solidFill>
            <a:latin typeface="+mj-lt"/>
          </a:endParaRPr>
        </a:p>
      </xdr:txBody>
    </xdr:sp>
    <xdr:clientData/>
  </xdr:twoCellAnchor>
  <xdr:twoCellAnchor>
    <xdr:from>
      <xdr:col>1</xdr:col>
      <xdr:colOff>533005</xdr:colOff>
      <xdr:row>11</xdr:row>
      <xdr:rowOff>79383</xdr:rowOff>
    </xdr:from>
    <xdr:to>
      <xdr:col>2</xdr:col>
      <xdr:colOff>654925</xdr:colOff>
      <xdr:row>13</xdr:row>
      <xdr:rowOff>15751</xdr:rowOff>
    </xdr:to>
    <xdr:sp macro="" textlink="Summary!E9">
      <xdr:nvSpPr>
        <xdr:cNvPr id="21" name="TextBox 20">
          <a:extLst>
            <a:ext uri="{FF2B5EF4-FFF2-40B4-BE49-F238E27FC236}">
              <a16:creationId xmlns:a16="http://schemas.microsoft.com/office/drawing/2014/main" id="{CAE967CB-8EEC-42C9-8EC0-70D1329579A1}"/>
            </a:ext>
          </a:extLst>
        </xdr:cNvPr>
        <xdr:cNvSpPr txBox="1"/>
      </xdr:nvSpPr>
      <xdr:spPr>
        <a:xfrm>
          <a:off x="1433550" y="2060583"/>
          <a:ext cx="1022466" cy="296586"/>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83A473-2347-416D-8BA3-70D7CD0A892C}" type="TxLink">
            <a:rPr lang="en-US" sz="1400" b="0" i="0" u="none" strike="noStrike">
              <a:ln>
                <a:noFill/>
              </a:ln>
              <a:solidFill>
                <a:schemeClr val="bg1"/>
              </a:solidFill>
              <a:latin typeface="+mj-lt"/>
              <a:ea typeface="+mn-ea"/>
              <a:cs typeface="+mn-cs"/>
            </a:rPr>
            <a:pPr marL="0" indent="0" algn="ctr"/>
            <a:t>186</a:t>
          </a:fld>
          <a:endParaRPr lang="en-US" sz="1400" b="0" i="0" u="none" strike="noStrike">
            <a:ln>
              <a:noFill/>
            </a:ln>
            <a:solidFill>
              <a:schemeClr val="bg1"/>
            </a:solidFill>
            <a:latin typeface="+mj-lt"/>
            <a:ea typeface="+mn-ea"/>
            <a:cs typeface="+mn-cs"/>
          </a:endParaRPr>
        </a:p>
      </xdr:txBody>
    </xdr:sp>
    <xdr:clientData/>
  </xdr:twoCellAnchor>
  <xdr:twoCellAnchor>
    <xdr:from>
      <xdr:col>1</xdr:col>
      <xdr:colOff>465420</xdr:colOff>
      <xdr:row>37</xdr:row>
      <xdr:rowOff>210188</xdr:rowOff>
    </xdr:from>
    <xdr:to>
      <xdr:col>2</xdr:col>
      <xdr:colOff>724500</xdr:colOff>
      <xdr:row>39</xdr:row>
      <xdr:rowOff>35621</xdr:rowOff>
    </xdr:to>
    <xdr:sp macro="" textlink="Summary!A4">
      <xdr:nvSpPr>
        <xdr:cNvPr id="27" name="TextBox 26">
          <a:extLst>
            <a:ext uri="{FF2B5EF4-FFF2-40B4-BE49-F238E27FC236}">
              <a16:creationId xmlns:a16="http://schemas.microsoft.com/office/drawing/2014/main" id="{5676E40C-3DB1-8F8A-1BD6-E7A9868DF205}"/>
            </a:ext>
          </a:extLst>
        </xdr:cNvPr>
        <xdr:cNvSpPr txBox="1"/>
      </xdr:nvSpPr>
      <xdr:spPr>
        <a:xfrm>
          <a:off x="1365965" y="7428406"/>
          <a:ext cx="1159626" cy="29648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999689-66E2-46F2-8245-DDCB238506FA}" type="TxLink">
            <a:rPr lang="en-US" sz="2800" b="0" i="0" u="none" strike="noStrike">
              <a:ln>
                <a:solidFill>
                  <a:schemeClr val="accent2">
                    <a:lumMod val="75000"/>
                  </a:schemeClr>
                </a:solidFill>
              </a:ln>
              <a:solidFill>
                <a:schemeClr val="bg2"/>
              </a:solidFill>
              <a:latin typeface="+mj-lt"/>
              <a:ea typeface="+mn-ea"/>
              <a:cs typeface="+mn-cs"/>
            </a:rPr>
            <a:pPr marL="0" indent="0" algn="ctr"/>
            <a:t>307</a:t>
          </a:fld>
          <a:endParaRPr lang="en-US" sz="2800" b="0" i="0" u="none" strike="noStrike">
            <a:ln>
              <a:solidFill>
                <a:schemeClr val="accent2">
                  <a:lumMod val="75000"/>
                </a:schemeClr>
              </a:solidFill>
            </a:ln>
            <a:solidFill>
              <a:schemeClr val="bg2"/>
            </a:solidFill>
            <a:latin typeface="+mj-lt"/>
            <a:ea typeface="+mn-ea"/>
            <a:cs typeface="+mn-cs"/>
          </a:endParaRPr>
        </a:p>
      </xdr:txBody>
    </xdr:sp>
    <xdr:clientData/>
  </xdr:twoCellAnchor>
  <xdr:twoCellAnchor>
    <xdr:from>
      <xdr:col>1</xdr:col>
      <xdr:colOff>488670</xdr:colOff>
      <xdr:row>39</xdr:row>
      <xdr:rowOff>82041</xdr:rowOff>
    </xdr:from>
    <xdr:to>
      <xdr:col>2</xdr:col>
      <xdr:colOff>610590</xdr:colOff>
      <xdr:row>41</xdr:row>
      <xdr:rowOff>11285</xdr:rowOff>
    </xdr:to>
    <xdr:sp macro="" textlink="Summary!A9">
      <xdr:nvSpPr>
        <xdr:cNvPr id="30" name="TextBox 29">
          <a:extLst>
            <a:ext uri="{FF2B5EF4-FFF2-40B4-BE49-F238E27FC236}">
              <a16:creationId xmlns:a16="http://schemas.microsoft.com/office/drawing/2014/main" id="{B367B6B5-7997-F91E-811B-CE71D3B9B6B9}"/>
            </a:ext>
          </a:extLst>
        </xdr:cNvPr>
        <xdr:cNvSpPr txBox="1"/>
      </xdr:nvSpPr>
      <xdr:spPr>
        <a:xfrm>
          <a:off x="1389215" y="7771314"/>
          <a:ext cx="1022466" cy="40029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081C8A-BA27-4709-B8F8-AED8ADBA45F0}" type="TxLink">
            <a:rPr lang="en-US" sz="1400" b="0" i="0" u="none" strike="noStrike">
              <a:ln>
                <a:noFill/>
              </a:ln>
              <a:solidFill>
                <a:schemeClr val="bg1"/>
              </a:solidFill>
              <a:latin typeface="+mj-lt"/>
              <a:ea typeface="+mn-ea"/>
              <a:cs typeface="+mn-cs"/>
            </a:rPr>
            <a:pPr marL="0" indent="0" algn="ctr"/>
            <a:t>62</a:t>
          </a:fld>
          <a:endParaRPr lang="en-US" sz="1400" b="0" i="0" u="none" strike="noStrike">
            <a:ln>
              <a:noFill/>
            </a:ln>
            <a:solidFill>
              <a:schemeClr val="bg1"/>
            </a:solidFill>
            <a:latin typeface="+mj-lt"/>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1.834711226853" backgroundQuery="1" createdVersion="8" refreshedVersion="8" minRefreshableVersion="3" recordCount="0" supportSubquery="1" supportAdvancedDrill="1" xr:uid="{C6F41918-B623-408A-AF3B-7F0E75BAB47C}">
  <cacheSource type="external" connectionId="1"/>
  <cacheFields count="3">
    <cacheField name="[calls].[Representative].[Representative]" caption="Representative" numFmtId="0" hierarchy="3" level="1">
      <sharedItems count="5">
        <s v="R01"/>
        <s v="R02"/>
        <s v="R03"/>
        <s v="R04"/>
        <s v="R05"/>
      </sharedItems>
    </cacheField>
    <cacheField name="[Measures].[Sum of Purchase Amount]" caption="Sum of Purchase Amount" numFmtId="0" hierarchy="25" level="32767"/>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1.800653356484" backgroundQuery="1" createdVersion="8" refreshedVersion="8" minRefreshableVersion="3" recordCount="0" supportSubquery="1" supportAdvancedDrill="1" xr:uid="{964457F1-A861-4EDA-ACE0-35333D28FC29}">
  <cacheSource type="external" connectionId="1"/>
  <cacheFields count="5">
    <cacheField name="[Measures].[5* Rating]" caption="5* Rating" numFmtId="0" hierarchy="21" level="32767"/>
    <cacheField name="[Measures].[Avg Rating]" caption="Avg Rating" numFmtId="0" hierarchy="20" level="32767"/>
    <cacheField name="[Measures].[Total Duration]" caption="Total Duration" numFmtId="0" hierarchy="19" level="32767"/>
    <cacheField name="[Measures].[Total Amount]" caption="Total Amount" numFmtId="0" hierarchy="18" level="32767"/>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4"/>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1"/>
      </fieldsUsage>
    </cacheHierarchy>
    <cacheHierarchy uniqueName="[Measures].[5* Rating]" caption="5* Rating" measure="1" displayFolder="" measureGroup="calls" count="0" oneField="1">
      <fieldsUsage count="1">
        <fieldUsage x="0"/>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1.934334027777" backgroundQuery="1" createdVersion="8" refreshedVersion="8" minRefreshableVersion="3" recordCount="0" supportSubquery="1" supportAdvancedDrill="1" xr:uid="{5D5E2816-6ED4-4F8D-891D-427786356CD1}">
  <cacheSource type="external" connectionId="1"/>
  <cacheFields count="3">
    <cacheField name="[Measures].[Call Count]" caption="Call Count" numFmtId="0" hierarchy="17"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2.783290162035" backgroundQuery="1" createdVersion="8" refreshedVersion="8" minRefreshableVersion="3" recordCount="0" supportSubquery="1" supportAdvancedDrill="1" xr:uid="{8DEB6461-2097-4BFE-905C-53D3962C0CCA}">
  <cacheSource type="external" connectionId="1"/>
  <cacheFields count="4">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0"/>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2.94120671296" backgroundQuery="1" createdVersion="8" refreshedVersion="8" minRefreshableVersion="3" recordCount="0" supportSubquery="1" supportAdvancedDrill="1" xr:uid="{DBD92E43-6FB6-49D1-97E8-2B52198CFAE5}">
  <cacheSource type="external" connectionId="1"/>
  <cacheFields count="6">
    <cacheField name="[Measures].[5* Rating]" caption="5* Rating" numFmtId="0" hierarchy="21" level="32767"/>
    <cacheField name="[Measures].[Avg Rating]" caption="Avg Rating" numFmtId="0" hierarchy="20" level="32767"/>
    <cacheField name="[Measures].[Total Duration]" caption="Total Duration" numFmtId="0" hierarchy="19" level="32767"/>
    <cacheField name="[Measures].[Total Amount]" caption="Total Amount" numFmtId="0" hierarchy="18" level="32767"/>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4"/>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1"/>
      </fieldsUsage>
    </cacheHierarchy>
    <cacheHierarchy uniqueName="[Measures].[5* Rating]" caption="5* Rating" measure="1" displayFolder="" measureGroup="calls" count="0" oneField="1">
      <fieldsUsage count="1">
        <fieldUsage x="0"/>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2.941207638891" backgroundQuery="1" createdVersion="8" refreshedVersion="8" minRefreshableVersion="3" recordCount="0" supportSubquery="1" supportAdvancedDrill="1" xr:uid="{4C3E7895-BBA4-404E-8083-66F053B051B3}">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276">
        <d v="2023-01-01T00:00:00"/>
        <d v="2023-01-02T00:00:00"/>
        <d v="2023-01-03T00:00:00"/>
        <d v="2023-01-04T00:00:00"/>
        <d v="2023-01-05T00:00:00"/>
        <d v="2023-01-08T00:00:00"/>
        <d v="2023-01-10T00:00:00"/>
        <d v="2023-01-12T00:00:00"/>
        <d v="2023-01-14T00:00:00"/>
        <d v="2023-01-15T00:00:00"/>
        <d v="2023-01-16T00:00:00"/>
        <d v="2023-01-18T00:00:00"/>
        <d v="2023-01-19T00:00:00"/>
        <d v="2023-01-20T00:00:00"/>
        <d v="2023-01-21T00:00:00"/>
        <d v="2023-01-22T00:00:00"/>
        <d v="2023-01-23T00:00:00"/>
        <d v="2023-01-24T00:00:00"/>
        <d v="2023-01-26T00:00:00"/>
        <d v="2023-01-27T00:00:00"/>
        <d v="2023-01-28T00:00:00"/>
        <d v="2023-01-30T00:00:00"/>
        <d v="2023-02-01T00:00:00"/>
        <d v="2023-02-02T00:00:00"/>
        <d v="2023-02-04T00:00:00"/>
        <d v="2023-02-05T00:00:00"/>
        <d v="2023-02-07T00:00:00"/>
        <d v="2023-02-08T00:00:00"/>
        <d v="2023-02-10T00:00:00"/>
        <d v="2023-02-12T00:00:00"/>
        <d v="2023-02-13T00:00:00"/>
        <d v="2023-02-15T00:00:00"/>
        <d v="2023-02-16T00:00:00"/>
        <d v="2023-02-17T00:00:00"/>
        <d v="2023-02-18T00:00:00"/>
        <d v="2023-02-19T00:00:00"/>
        <d v="2023-02-20T00:00:00"/>
        <d v="2023-02-22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9T00:00:00"/>
        <d v="2023-04-20T00:00:00"/>
        <d v="2023-04-21T00:00:00"/>
        <d v="2023-04-22T00:00:00"/>
        <d v="2023-04-23T00:00:00"/>
        <d v="2023-04-24T00:00:00"/>
        <d v="2023-04-25T00:00:00"/>
        <d v="2023-04-26T00:00:00"/>
        <d v="2023-04-28T00:00:00"/>
        <d v="2023-04-29T00:00:00"/>
        <d v="2023-05-01T00:00:00"/>
        <d v="2023-05-02T00:00:00"/>
        <d v="2023-05-03T00:00:00"/>
        <d v="2023-05-04T00:00:00"/>
        <d v="2023-05-08T00:00:00"/>
        <d v="2023-05-09T00:00:00"/>
        <d v="2023-05-11T00:00:00"/>
        <d v="2023-05-12T00:00:00"/>
        <d v="2023-05-14T00:00:00"/>
        <d v="2023-05-15T00:00:00"/>
        <d v="2023-05-16T00:00:00"/>
        <d v="2023-05-17T00:00:00"/>
        <d v="2023-05-18T00:00:00"/>
        <d v="2023-05-19T00:00:00"/>
        <d v="2023-05-21T00:00:00"/>
        <d v="2023-05-22T00:00:00"/>
        <d v="2023-05-24T00:00:00"/>
        <d v="2023-05-25T00:00:00"/>
        <d v="2023-05-26T00:00:00"/>
        <d v="2023-05-28T00:00:00"/>
        <d v="2023-05-30T00:00:00"/>
        <d v="2023-05-31T00:00:00"/>
        <d v="2023-06-01T00:00:00"/>
        <d v="2023-06-03T00:00:00"/>
        <d v="2023-06-04T00:00:00"/>
        <d v="2023-06-05T00:00:00"/>
        <d v="2023-06-06T00:00:00"/>
        <d v="2023-06-07T00:00:00"/>
        <d v="2023-06-08T00:00:00"/>
        <d v="2023-06-09T00:00:00"/>
        <d v="2023-06-10T00:00:00"/>
        <d v="2023-06-11T00:00:00"/>
        <d v="2023-06-12T00:00:00"/>
        <d v="2023-06-14T00:00:00"/>
        <d v="2023-06-15T00:00:00"/>
        <d v="2023-06-16T00:00:00"/>
        <d v="2023-06-17T00:00:00"/>
        <d v="2023-06-18T00:00:00"/>
        <d v="2023-06-19T00:00:00"/>
        <d v="2023-06-20T00:00:00"/>
        <d v="2023-06-21T00:00:00"/>
        <d v="2023-06-23T00:00:00"/>
        <d v="2023-06-25T00:00:00"/>
        <d v="2023-06-26T00:00:00"/>
        <d v="2023-06-27T00:00:00"/>
        <d v="2023-07-01T00:00:00"/>
        <d v="2023-07-02T00:00:00"/>
        <d v="2023-07-04T00:00:00"/>
        <d v="2023-07-06T00:00:00"/>
        <d v="2023-07-07T00:00:00"/>
        <d v="2023-07-08T00:00:00"/>
        <d v="2023-07-09T00:00:00"/>
        <d v="2023-07-10T00:00:00"/>
        <d v="2023-07-11T00:00:00"/>
        <d v="2023-07-12T00:00:00"/>
        <d v="2023-07-13T00:00:00"/>
        <d v="2023-07-14T00:00:00"/>
        <d v="2023-07-16T00:00:00"/>
        <d v="2023-07-17T00:00:00"/>
        <d v="2023-07-19T00:00:00"/>
        <d v="2023-07-20T00:00:00"/>
        <d v="2023-07-21T00:00:00"/>
        <d v="2023-07-22T00:00:00"/>
        <d v="2023-07-25T00:00:00"/>
        <d v="2023-07-26T00:00:00"/>
        <d v="2023-07-27T00:00:00"/>
        <d v="2023-07-31T00:00:00"/>
        <d v="2023-08-03T00:00:00"/>
        <d v="2023-08-04T00:00:00"/>
        <d v="2023-08-05T00:00:00"/>
        <d v="2023-08-06T00:00:00"/>
        <d v="2023-08-07T00:00:00"/>
        <d v="2023-08-08T00:00:00"/>
        <d v="2023-08-10T00:00:00"/>
        <d v="2023-08-12T00:00:00"/>
        <d v="2023-08-13T00:00:00"/>
        <d v="2023-08-17T00:00:00"/>
        <d v="2023-08-19T00:00:00"/>
        <d v="2023-08-20T00:00:00"/>
        <d v="2023-08-21T00:00:00"/>
        <d v="2023-08-24T00:00:00"/>
        <d v="2023-08-25T00:00:00"/>
        <d v="2023-08-26T00:00:00"/>
        <d v="2023-08-27T00:00:00"/>
        <d v="2023-08-29T00:00:00"/>
        <d v="2023-08-30T00:00:00"/>
        <d v="2023-08-31T00:00:00"/>
        <d v="2023-09-01T00:00:00"/>
        <d v="2023-09-03T00:00:00"/>
        <d v="2023-09-04T00:00:00"/>
        <d v="2023-09-06T00:00:00"/>
        <d v="2023-09-07T00:00:00"/>
        <d v="2023-09-08T00:00:00"/>
        <d v="2023-09-09T00:00:00"/>
        <d v="2023-09-10T00:00:00"/>
        <d v="2023-09-12T00:00:00"/>
        <d v="2023-09-13T00:00:00"/>
        <d v="2023-09-14T00:00:00"/>
        <d v="2023-09-16T00:00:00"/>
        <d v="2023-09-19T00:00:00"/>
        <d v="2023-09-21T00:00:00"/>
        <d v="2023-09-22T00:00:00"/>
        <d v="2023-09-23T00:00:00"/>
        <d v="2023-09-24T00:00:00"/>
        <d v="2023-09-25T00:00:00"/>
        <d v="2023-09-27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0T00:00:00"/>
        <d v="2023-10-31T00:00:00"/>
        <d v="2023-11-01T00:00:00"/>
        <d v="2023-11-03T00:00:00"/>
        <d v="2023-11-04T00:00:00"/>
        <d v="2023-11-06T00:00:00"/>
        <d v="2023-11-07T00:00:00"/>
        <d v="2023-11-08T00:00:00"/>
        <d v="2023-11-10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8T00:00:00"/>
        <d v="2023-12-09T00:00:00"/>
        <d v="2023-12-13T00:00:00"/>
        <d v="2023-12-15T00:00:00"/>
        <d v="2023-12-17T00:00:00"/>
        <d v="2023-12-19T00:00:00"/>
        <d v="2023-12-20T00:00:00"/>
        <d v="2023-12-21T00:00:00"/>
        <d v="2023-12-24T00:00:00"/>
        <d v="2023-12-25T00:00:00"/>
        <d v="2023-12-26T00:00:00"/>
        <d v="2023-12-28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2.941212152778" backgroundQuery="1" createdVersion="8" refreshedVersion="8" minRefreshableVersion="3" recordCount="0" supportSubquery="1" supportAdvancedDrill="1" xr:uid="{668FFD2D-0AC9-47E1-BC26-DE45CB1E704A}">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2.941214930557" backgroundQuery="1" createdVersion="8" refreshedVersion="8" minRefreshableVersion="3" recordCount="0" supportSubquery="1" supportAdvancedDrill="1" xr:uid="{B109BF9A-1DCA-4AD9-891B-D08CA6F6A36F}">
  <cacheSource type="external" connectionId="1"/>
  <cacheFields count="1">
    <cacheField name="[calls].[Representative].[Representative]" caption="Representative" numFmtId="0" hierarchy="3" level="1">
      <sharedItems count="1">
        <s v="R0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2.941215624996" backgroundQuery="1" createdVersion="8" refreshedVersion="8" minRefreshableVersion="3" recordCount="0" supportSubquery="1" supportAdvancedDrill="1" xr:uid="{EFAAECB2-45BD-4E1E-8606-56B28AAFAEB2}">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301.800648379627" backgroundQuery="1" createdVersion="3" refreshedVersion="8" minRefreshableVersion="3" recordCount="0" supportSubquery="1" supportAdvancedDrill="1" xr:uid="{530FE687-6705-4F75-B516-6FF8AD628D39}">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13087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F6EE74-7F11-4224-BA7E-0F02FF10877F}" name="Rating_G"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0:B5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48AEE-678B-4557-997B-20140F6E42DD}" name="Customer_Analyze"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60:G79" firstHeaderRow="1" firstDataRow="2"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1"/>
    <field x="0"/>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EC9C1-D917-4FA6-98A1-72606B22B56D}" name="Summary Tab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9590A-130F-4E74-A2F9-333A6560FE0A}" name="M vs F caller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2:D47"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fld="0" subtotal="count" baseField="0" baseItem="0"/>
  </dataFields>
  <chartFormats count="2">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73358A-A263-463E-A6B5-4633CC65E5FA}" name="Calls vs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3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Purchase Amount" fld="1"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EA3EC1-58BA-4540-B102-5D0F3912C478}" name="rep table "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F4303B-62D9-470C-BAF4-5D75B2BA3218}" name="Selected Rep"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2:K3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DAAFEF-4913-4452-82CA-B826D24536FD}" name="weekly trend"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E14:F2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376E49-E77A-4C3D-BCAF-9DCB7ACE666B}" name="Montly Trend"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A14: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28" format="4" series="1">
      <pivotArea type="data" outline="0" fieldPosition="0">
        <references count="1">
          <reference field="4294967294" count="1" selected="0">
            <x v="1"/>
          </reference>
        </references>
      </pivotArea>
    </chartFormat>
    <chartFormat chart="28"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3</v>
    <v>4</v>
    <v>Young businessman writing on notebook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E0AFB9F-F0AC-49EB-94B7-EE2FAF38F154}" sourceName="[calls].[Representative]">
  <pivotTables>
    <pivotTable tabId="5" name="rep table "/>
    <pivotTable tabId="5" name="Montly Trend"/>
    <pivotTable tabId="5" name="weekly trend"/>
    <pivotTable tabId="5" name="Selected Rep"/>
    <pivotTable tabId="5" name="Rating_G"/>
  </pivotTables>
  <data>
    <olap pivotCacheId="106130875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8DDF564-A152-4D11-9070-7D9C3FA09F44}" cache="Slicer_Representative" caption="Representative" level="1"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25" zoomScale="115" zoomScaleNormal="115" workbookViewId="0">
      <selection sqref="A1:XFD1048576"/>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3" zoomScale="115" zoomScaleNormal="115" workbookViewId="0">
      <selection activeCell="E7" sqref="E7"/>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021B-AC20-4E96-8CC5-D065C213DD71}">
  <dimension ref="A3:K104"/>
  <sheetViews>
    <sheetView topLeftCell="A89" zoomScale="130" zoomScaleNormal="130" workbookViewId="0">
      <selection activeCell="B104" sqref="B104"/>
    </sheetView>
  </sheetViews>
  <sheetFormatPr defaultColWidth="10.296875" defaultRowHeight="14.4" x14ac:dyDescent="0.3"/>
  <cols>
    <col min="1" max="1" width="12.19921875" bestFit="1" customWidth="1"/>
    <col min="2" max="2" width="9.8984375" bestFit="1" customWidth="1"/>
    <col min="3" max="3" width="10.8984375" bestFit="1" customWidth="1"/>
    <col min="4" max="4" width="12.19921875" bestFit="1" customWidth="1"/>
    <col min="5" max="5" width="9.8984375" bestFit="1" customWidth="1"/>
    <col min="6" max="6" width="10.09765625" bestFit="1" customWidth="1"/>
    <col min="7" max="7" width="10.8984375" bestFit="1" customWidth="1"/>
    <col min="8" max="8" width="11.19921875" bestFit="1" customWidth="1"/>
    <col min="9" max="9" width="8.796875" bestFit="1" customWidth="1"/>
    <col min="10" max="10" width="15.19921875" bestFit="1" customWidth="1"/>
    <col min="11" max="11" width="12.19921875" bestFit="1" customWidth="1"/>
    <col min="12" max="43" width="15.19921875" bestFit="1" customWidth="1"/>
    <col min="44" max="44" width="10.3984375" bestFit="1" customWidth="1"/>
  </cols>
  <sheetData>
    <row r="3" spans="1:6" x14ac:dyDescent="0.3">
      <c r="A3" t="s">
        <v>1042</v>
      </c>
      <c r="B3" t="s">
        <v>1043</v>
      </c>
      <c r="C3" t="s">
        <v>1044</v>
      </c>
      <c r="D3" t="s">
        <v>1045</v>
      </c>
      <c r="E3" t="s">
        <v>1046</v>
      </c>
    </row>
    <row r="4" spans="1:6" x14ac:dyDescent="0.3">
      <c r="A4" s="21">
        <v>307</v>
      </c>
      <c r="B4" s="20">
        <v>3.964</v>
      </c>
      <c r="C4" s="21">
        <v>89850</v>
      </c>
      <c r="D4" s="22">
        <v>96623</v>
      </c>
      <c r="E4" s="21">
        <v>1000</v>
      </c>
    </row>
    <row r="8" spans="1:6" x14ac:dyDescent="0.3">
      <c r="A8" t="s">
        <v>1042</v>
      </c>
      <c r="B8" t="s">
        <v>1043</v>
      </c>
      <c r="C8" t="s">
        <v>1044</v>
      </c>
      <c r="D8" t="s">
        <v>1045</v>
      </c>
      <c r="E8" t="s">
        <v>1046</v>
      </c>
    </row>
    <row r="9" spans="1:6" x14ac:dyDescent="0.3">
      <c r="A9" s="21">
        <v>62</v>
      </c>
      <c r="B9" s="20">
        <v>3.956989247311828</v>
      </c>
      <c r="C9" s="21">
        <v>17807</v>
      </c>
      <c r="D9" s="22">
        <v>16651</v>
      </c>
      <c r="E9" s="21">
        <v>186</v>
      </c>
    </row>
    <row r="14" spans="1:6" x14ac:dyDescent="0.3">
      <c r="A14" s="23" t="s">
        <v>1047</v>
      </c>
      <c r="B14" t="s">
        <v>1046</v>
      </c>
      <c r="C14" t="s">
        <v>1061</v>
      </c>
      <c r="E14" s="23" t="s">
        <v>1047</v>
      </c>
      <c r="F14" t="s">
        <v>1046</v>
      </c>
    </row>
    <row r="15" spans="1:6" x14ac:dyDescent="0.3">
      <c r="A15" s="24" t="s">
        <v>1049</v>
      </c>
      <c r="B15" s="21">
        <v>10</v>
      </c>
      <c r="C15" s="21">
        <v>10</v>
      </c>
      <c r="E15" s="24" t="s">
        <v>1065</v>
      </c>
      <c r="F15" s="21">
        <v>25</v>
      </c>
    </row>
    <row r="16" spans="1:6" x14ac:dyDescent="0.3">
      <c r="A16" s="24" t="s">
        <v>1050</v>
      </c>
      <c r="B16" s="21">
        <v>11</v>
      </c>
      <c r="C16" s="21">
        <v>11</v>
      </c>
      <c r="E16" s="24" t="s">
        <v>1063</v>
      </c>
      <c r="F16" s="21">
        <v>23</v>
      </c>
    </row>
    <row r="17" spans="1:11" x14ac:dyDescent="0.3">
      <c r="A17" s="24" t="s">
        <v>1051</v>
      </c>
      <c r="B17" s="21">
        <v>30</v>
      </c>
      <c r="C17" s="21">
        <v>30</v>
      </c>
      <c r="E17" s="24" t="s">
        <v>1067</v>
      </c>
      <c r="F17" s="21">
        <v>28</v>
      </c>
    </row>
    <row r="18" spans="1:11" x14ac:dyDescent="0.3">
      <c r="A18" s="24" t="s">
        <v>1052</v>
      </c>
      <c r="B18" s="21">
        <v>23</v>
      </c>
      <c r="C18" s="21">
        <v>23</v>
      </c>
      <c r="E18" s="24" t="s">
        <v>1068</v>
      </c>
      <c r="F18" s="21">
        <v>29</v>
      </c>
    </row>
    <row r="19" spans="1:11" x14ac:dyDescent="0.3">
      <c r="A19" s="24" t="s">
        <v>1053</v>
      </c>
      <c r="B19" s="21">
        <v>22</v>
      </c>
      <c r="C19" s="21">
        <v>22</v>
      </c>
      <c r="E19" s="24" t="s">
        <v>1066</v>
      </c>
      <c r="F19" s="21">
        <v>18</v>
      </c>
    </row>
    <row r="20" spans="1:11" x14ac:dyDescent="0.3">
      <c r="A20" s="24" t="s">
        <v>1054</v>
      </c>
      <c r="B20" s="21">
        <v>11</v>
      </c>
      <c r="C20" s="21">
        <v>11</v>
      </c>
      <c r="E20" s="24" t="s">
        <v>1062</v>
      </c>
      <c r="F20" s="21">
        <v>29</v>
      </c>
    </row>
    <row r="21" spans="1:11" x14ac:dyDescent="0.3">
      <c r="A21" s="24" t="s">
        <v>1055</v>
      </c>
      <c r="B21" s="21">
        <v>17</v>
      </c>
      <c r="C21" s="21">
        <v>17</v>
      </c>
      <c r="E21" s="24" t="s">
        <v>1064</v>
      </c>
      <c r="F21" s="21">
        <v>34</v>
      </c>
    </row>
    <row r="22" spans="1:11" x14ac:dyDescent="0.3">
      <c r="A22" s="24" t="s">
        <v>1056</v>
      </c>
      <c r="B22" s="21">
        <v>12</v>
      </c>
      <c r="C22" s="21">
        <v>12</v>
      </c>
      <c r="E22" s="24" t="s">
        <v>1048</v>
      </c>
      <c r="F22" s="21">
        <v>186</v>
      </c>
    </row>
    <row r="23" spans="1:11" x14ac:dyDescent="0.3">
      <c r="A23" s="24" t="s">
        <v>1057</v>
      </c>
      <c r="B23" s="21">
        <v>13</v>
      </c>
      <c r="C23" s="21">
        <v>13</v>
      </c>
    </row>
    <row r="24" spans="1:11" x14ac:dyDescent="0.3">
      <c r="A24" s="24" t="s">
        <v>1058</v>
      </c>
      <c r="B24" s="21">
        <v>15</v>
      </c>
      <c r="C24" s="21">
        <v>15</v>
      </c>
    </row>
    <row r="25" spans="1:11" x14ac:dyDescent="0.3">
      <c r="A25" s="24" t="s">
        <v>1059</v>
      </c>
      <c r="B25" s="21">
        <v>8</v>
      </c>
      <c r="C25" s="21">
        <v>8</v>
      </c>
    </row>
    <row r="26" spans="1:11" x14ac:dyDescent="0.3">
      <c r="A26" s="24" t="s">
        <v>1060</v>
      </c>
      <c r="B26" s="21">
        <v>14</v>
      </c>
      <c r="C26" s="21">
        <v>14</v>
      </c>
    </row>
    <row r="27" spans="1:11" x14ac:dyDescent="0.3">
      <c r="A27" s="24" t="s">
        <v>1048</v>
      </c>
      <c r="B27" s="21">
        <v>186</v>
      </c>
      <c r="C27" s="21">
        <v>186</v>
      </c>
    </row>
    <row r="30" spans="1:11" x14ac:dyDescent="0.3">
      <c r="H30" t="s">
        <v>1075</v>
      </c>
      <c r="I30" t="str">
        <f>K33</f>
        <v>R04</v>
      </c>
    </row>
    <row r="32" spans="1:11" x14ac:dyDescent="0.3">
      <c r="A32" s="23" t="s">
        <v>1047</v>
      </c>
      <c r="B32" t="s">
        <v>1069</v>
      </c>
      <c r="C32" t="s">
        <v>1046</v>
      </c>
      <c r="E32" s="26" t="s">
        <v>1070</v>
      </c>
      <c r="F32" s="26" t="s">
        <v>1071</v>
      </c>
      <c r="G32" s="26" t="s">
        <v>1072</v>
      </c>
      <c r="H32" s="27" t="s">
        <v>1073</v>
      </c>
      <c r="I32" s="27" t="s">
        <v>1074</v>
      </c>
      <c r="K32" s="23" t="s">
        <v>1047</v>
      </c>
    </row>
    <row r="33" spans="1:11" x14ac:dyDescent="0.3">
      <c r="A33" s="24" t="s">
        <v>11</v>
      </c>
      <c r="B33">
        <v>18415</v>
      </c>
      <c r="C33" s="21">
        <v>189</v>
      </c>
      <c r="E33" s="24" t="s">
        <v>11</v>
      </c>
      <c r="F33" s="25">
        <v>18415</v>
      </c>
      <c r="G33" s="21">
        <v>189</v>
      </c>
      <c r="H33" s="28" t="e">
        <f>IF(E33=$I$30, F33, NA())</f>
        <v>#N/A</v>
      </c>
      <c r="I33" t="e">
        <f>IF(E33=$I$30,G33,NA())</f>
        <v>#N/A</v>
      </c>
      <c r="K33" s="24" t="s">
        <v>13</v>
      </c>
    </row>
    <row r="34" spans="1:11" x14ac:dyDescent="0.3">
      <c r="A34" s="24" t="s">
        <v>9</v>
      </c>
      <c r="B34">
        <v>20581</v>
      </c>
      <c r="C34" s="21">
        <v>218</v>
      </c>
      <c r="E34" s="24" t="s">
        <v>9</v>
      </c>
      <c r="F34" s="25">
        <v>20581</v>
      </c>
      <c r="G34" s="21">
        <v>218</v>
      </c>
      <c r="H34" s="28" t="e">
        <f t="shared" ref="H34:H37" si="0">IF(E34=$I$30, F34, NA())</f>
        <v>#N/A</v>
      </c>
      <c r="I34" t="e">
        <f t="shared" ref="I34:I37" si="1">IF(E34=$I$30,G34,NA())</f>
        <v>#N/A</v>
      </c>
      <c r="K34" s="24" t="s">
        <v>1048</v>
      </c>
    </row>
    <row r="35" spans="1:11" x14ac:dyDescent="0.3">
      <c r="A35" s="24" t="s">
        <v>6</v>
      </c>
      <c r="B35">
        <v>20872</v>
      </c>
      <c r="C35" s="21">
        <v>207</v>
      </c>
      <c r="E35" s="24" t="s">
        <v>6</v>
      </c>
      <c r="F35" s="25">
        <v>20872</v>
      </c>
      <c r="G35" s="21">
        <v>207</v>
      </c>
      <c r="H35" s="28" t="e">
        <f t="shared" si="0"/>
        <v>#N/A</v>
      </c>
      <c r="I35" t="e">
        <f t="shared" si="1"/>
        <v>#N/A</v>
      </c>
    </row>
    <row r="36" spans="1:11" x14ac:dyDescent="0.3">
      <c r="A36" s="24" t="s">
        <v>13</v>
      </c>
      <c r="B36">
        <v>16651</v>
      </c>
      <c r="C36" s="21">
        <v>186</v>
      </c>
      <c r="E36" s="24" t="s">
        <v>13</v>
      </c>
      <c r="F36" s="25">
        <v>16651</v>
      </c>
      <c r="G36" s="21">
        <v>186</v>
      </c>
      <c r="H36" s="28">
        <f t="shared" si="0"/>
        <v>16651</v>
      </c>
      <c r="I36">
        <f t="shared" si="1"/>
        <v>186</v>
      </c>
    </row>
    <row r="37" spans="1:11" x14ac:dyDescent="0.3">
      <c r="A37" s="24" t="s">
        <v>10</v>
      </c>
      <c r="B37">
        <v>20104</v>
      </c>
      <c r="C37" s="21">
        <v>200</v>
      </c>
      <c r="E37" s="24" t="s">
        <v>10</v>
      </c>
      <c r="F37" s="25">
        <v>20104</v>
      </c>
      <c r="G37" s="21">
        <v>200</v>
      </c>
      <c r="H37" s="28" t="e">
        <f t="shared" si="0"/>
        <v>#N/A</v>
      </c>
      <c r="I37" t="e">
        <f t="shared" si="1"/>
        <v>#N/A</v>
      </c>
    </row>
    <row r="38" spans="1:11" x14ac:dyDescent="0.3">
      <c r="A38" s="24" t="s">
        <v>1048</v>
      </c>
      <c r="B38">
        <v>96623</v>
      </c>
      <c r="C38" s="21">
        <v>1000</v>
      </c>
    </row>
    <row r="42" spans="1:11" x14ac:dyDescent="0.3">
      <c r="A42" s="23" t="s">
        <v>1046</v>
      </c>
      <c r="B42" s="23" t="s">
        <v>1076</v>
      </c>
    </row>
    <row r="43" spans="1:11" x14ac:dyDescent="0.3">
      <c r="A43" s="23" t="s">
        <v>1047</v>
      </c>
      <c r="B43" t="s">
        <v>999</v>
      </c>
      <c r="C43" t="s">
        <v>998</v>
      </c>
      <c r="D43" t="s">
        <v>1048</v>
      </c>
    </row>
    <row r="44" spans="1:11" x14ac:dyDescent="0.3">
      <c r="A44" s="24" t="s">
        <v>1002</v>
      </c>
      <c r="B44" s="21">
        <v>144</v>
      </c>
      <c r="C44" s="21">
        <v>132</v>
      </c>
      <c r="D44" s="21">
        <v>276</v>
      </c>
    </row>
    <row r="45" spans="1:11" x14ac:dyDescent="0.3">
      <c r="A45" s="24" t="s">
        <v>1001</v>
      </c>
      <c r="B45" s="21">
        <v>326</v>
      </c>
      <c r="C45" s="21">
        <v>63</v>
      </c>
      <c r="D45" s="21">
        <v>389</v>
      </c>
    </row>
    <row r="46" spans="1:11" x14ac:dyDescent="0.3">
      <c r="A46" s="24" t="s">
        <v>1000</v>
      </c>
      <c r="B46" s="21">
        <v>129</v>
      </c>
      <c r="C46" s="21">
        <v>206</v>
      </c>
      <c r="D46" s="21">
        <v>335</v>
      </c>
    </row>
    <row r="47" spans="1:11" x14ac:dyDescent="0.3">
      <c r="A47" s="24" t="s">
        <v>1048</v>
      </c>
      <c r="B47" s="21">
        <v>599</v>
      </c>
      <c r="C47" s="21">
        <v>401</v>
      </c>
      <c r="D47" s="21">
        <v>1000</v>
      </c>
    </row>
    <row r="50" spans="1:7" x14ac:dyDescent="0.3">
      <c r="A50" s="23" t="s">
        <v>1047</v>
      </c>
      <c r="B50" t="s">
        <v>1046</v>
      </c>
    </row>
    <row r="51" spans="1:7" x14ac:dyDescent="0.3">
      <c r="A51" s="24">
        <v>1</v>
      </c>
      <c r="B51" s="21">
        <v>3</v>
      </c>
    </row>
    <row r="52" spans="1:7" x14ac:dyDescent="0.3">
      <c r="A52" s="24">
        <v>2</v>
      </c>
      <c r="B52" s="21">
        <v>10</v>
      </c>
    </row>
    <row r="53" spans="1:7" x14ac:dyDescent="0.3">
      <c r="A53" s="24">
        <v>3</v>
      </c>
      <c r="B53" s="21">
        <v>41</v>
      </c>
    </row>
    <row r="54" spans="1:7" x14ac:dyDescent="0.3">
      <c r="A54" s="24">
        <v>4</v>
      </c>
      <c r="B54" s="21">
        <v>70</v>
      </c>
    </row>
    <row r="55" spans="1:7" x14ac:dyDescent="0.3">
      <c r="A55" s="24">
        <v>5</v>
      </c>
      <c r="B55" s="21">
        <v>62</v>
      </c>
    </row>
    <row r="56" spans="1:7" x14ac:dyDescent="0.3">
      <c r="A56" s="24" t="s">
        <v>1048</v>
      </c>
      <c r="B56" s="21">
        <v>186</v>
      </c>
    </row>
    <row r="58" spans="1:7" x14ac:dyDescent="0.3">
      <c r="A58" s="21"/>
    </row>
    <row r="60" spans="1:7" x14ac:dyDescent="0.3">
      <c r="A60" s="23" t="s">
        <v>1045</v>
      </c>
      <c r="B60" s="23" t="s">
        <v>1076</v>
      </c>
    </row>
    <row r="61" spans="1:7" x14ac:dyDescent="0.3">
      <c r="A61" s="23" t="s">
        <v>1047</v>
      </c>
      <c r="B61" t="s">
        <v>11</v>
      </c>
      <c r="C61" t="s">
        <v>9</v>
      </c>
      <c r="D61" t="s">
        <v>6</v>
      </c>
      <c r="E61" t="s">
        <v>13</v>
      </c>
      <c r="F61" t="s">
        <v>10</v>
      </c>
      <c r="G61" t="s">
        <v>1048</v>
      </c>
    </row>
    <row r="62" spans="1:7" x14ac:dyDescent="0.3">
      <c r="A62" s="24" t="s">
        <v>1002</v>
      </c>
    </row>
    <row r="63" spans="1:7" x14ac:dyDescent="0.3">
      <c r="A63" s="30" t="s">
        <v>20</v>
      </c>
      <c r="B63" s="22">
        <v>891</v>
      </c>
      <c r="C63" s="22">
        <v>1332</v>
      </c>
      <c r="D63" s="22">
        <v>1282</v>
      </c>
      <c r="E63" s="22">
        <v>739</v>
      </c>
      <c r="F63" s="22">
        <v>560</v>
      </c>
      <c r="G63" s="22">
        <v>4804</v>
      </c>
    </row>
    <row r="64" spans="1:7" x14ac:dyDescent="0.3">
      <c r="A64" s="30" t="s">
        <v>12</v>
      </c>
      <c r="B64" s="22">
        <v>1991</v>
      </c>
      <c r="C64" s="22">
        <v>1886</v>
      </c>
      <c r="D64" s="22">
        <v>1206</v>
      </c>
      <c r="E64" s="22">
        <v>884</v>
      </c>
      <c r="F64" s="22">
        <v>1722</v>
      </c>
      <c r="G64" s="22">
        <v>7689</v>
      </c>
    </row>
    <row r="65" spans="1:7" x14ac:dyDescent="0.3">
      <c r="A65" s="30" t="s">
        <v>8</v>
      </c>
      <c r="B65" s="22">
        <v>1163</v>
      </c>
      <c r="C65" s="22">
        <v>1180</v>
      </c>
      <c r="D65" s="22">
        <v>1616</v>
      </c>
      <c r="E65" s="22">
        <v>1043</v>
      </c>
      <c r="F65" s="22">
        <v>1747</v>
      </c>
      <c r="G65" s="22">
        <v>6749</v>
      </c>
    </row>
    <row r="66" spans="1:7" x14ac:dyDescent="0.3">
      <c r="A66" s="30" t="s">
        <v>16</v>
      </c>
      <c r="B66" s="22">
        <v>1438</v>
      </c>
      <c r="C66" s="22">
        <v>1616</v>
      </c>
      <c r="D66" s="22">
        <v>866</v>
      </c>
      <c r="E66" s="22">
        <v>829</v>
      </c>
      <c r="F66" s="22">
        <v>2070</v>
      </c>
      <c r="G66" s="22">
        <v>6819</v>
      </c>
    </row>
    <row r="67" spans="1:7" x14ac:dyDescent="0.3">
      <c r="A67" s="24" t="s">
        <v>1001</v>
      </c>
    </row>
    <row r="68" spans="1:7" x14ac:dyDescent="0.3">
      <c r="A68" s="30" t="s">
        <v>24</v>
      </c>
      <c r="B68" s="22">
        <v>1233</v>
      </c>
      <c r="C68" s="22">
        <v>223</v>
      </c>
      <c r="D68" s="22">
        <v>1680</v>
      </c>
      <c r="E68" s="22">
        <v>990</v>
      </c>
      <c r="F68" s="22">
        <v>1508</v>
      </c>
      <c r="G68" s="22">
        <v>5634</v>
      </c>
    </row>
    <row r="69" spans="1:7" x14ac:dyDescent="0.3">
      <c r="A69" s="30" t="s">
        <v>15</v>
      </c>
      <c r="B69" s="22">
        <v>1598</v>
      </c>
      <c r="C69" s="22">
        <v>1907</v>
      </c>
      <c r="D69" s="22">
        <v>869</v>
      </c>
      <c r="E69" s="22">
        <v>1426</v>
      </c>
      <c r="F69" s="22">
        <v>1416</v>
      </c>
      <c r="G69" s="22">
        <v>7216</v>
      </c>
    </row>
    <row r="70" spans="1:7" x14ac:dyDescent="0.3">
      <c r="A70" s="30" t="s">
        <v>5</v>
      </c>
      <c r="B70" s="22">
        <v>900</v>
      </c>
      <c r="C70" s="22">
        <v>1016</v>
      </c>
      <c r="D70" s="22">
        <v>960</v>
      </c>
      <c r="E70" s="22">
        <v>940</v>
      </c>
      <c r="F70" s="22">
        <v>1193</v>
      </c>
      <c r="G70" s="22">
        <v>5009</v>
      </c>
    </row>
    <row r="71" spans="1:7" x14ac:dyDescent="0.3">
      <c r="A71" s="30" t="s">
        <v>18</v>
      </c>
      <c r="B71" s="22">
        <v>900</v>
      </c>
      <c r="C71" s="22">
        <v>1470</v>
      </c>
      <c r="D71" s="22">
        <v>1617</v>
      </c>
      <c r="E71" s="22">
        <v>1314</v>
      </c>
      <c r="F71" s="22">
        <v>941</v>
      </c>
      <c r="G71" s="22">
        <v>6242</v>
      </c>
    </row>
    <row r="72" spans="1:7" x14ac:dyDescent="0.3">
      <c r="A72" s="30" t="s">
        <v>14</v>
      </c>
      <c r="B72" s="22">
        <v>1255</v>
      </c>
      <c r="C72" s="22">
        <v>516</v>
      </c>
      <c r="D72" s="22">
        <v>1874</v>
      </c>
      <c r="E72" s="22">
        <v>1863</v>
      </c>
      <c r="F72" s="22">
        <v>1722</v>
      </c>
      <c r="G72" s="22">
        <v>7230</v>
      </c>
    </row>
    <row r="73" spans="1:7" x14ac:dyDescent="0.3">
      <c r="A73" s="30" t="s">
        <v>19</v>
      </c>
      <c r="B73" s="22">
        <v>1138</v>
      </c>
      <c r="C73" s="22">
        <v>1898</v>
      </c>
      <c r="D73" s="22">
        <v>1482</v>
      </c>
      <c r="E73" s="22">
        <v>846</v>
      </c>
      <c r="F73" s="22">
        <v>1154</v>
      </c>
      <c r="G73" s="22">
        <v>6518</v>
      </c>
    </row>
    <row r="74" spans="1:7" x14ac:dyDescent="0.3">
      <c r="A74" s="24" t="s">
        <v>1000</v>
      </c>
    </row>
    <row r="75" spans="1:7" x14ac:dyDescent="0.3">
      <c r="A75" s="30" t="s">
        <v>17</v>
      </c>
      <c r="B75" s="22">
        <v>1655</v>
      </c>
      <c r="C75" s="22">
        <v>805</v>
      </c>
      <c r="D75" s="22">
        <v>2263</v>
      </c>
      <c r="E75" s="22">
        <v>987</v>
      </c>
      <c r="F75" s="22">
        <v>1075</v>
      </c>
      <c r="G75" s="22">
        <v>6785</v>
      </c>
    </row>
    <row r="76" spans="1:7" x14ac:dyDescent="0.3">
      <c r="A76" s="30" t="s">
        <v>23</v>
      </c>
      <c r="B76" s="22">
        <v>1104</v>
      </c>
      <c r="C76" s="22">
        <v>2280</v>
      </c>
      <c r="D76" s="22">
        <v>1445</v>
      </c>
      <c r="E76" s="22">
        <v>1722</v>
      </c>
      <c r="F76" s="22">
        <v>1196</v>
      </c>
      <c r="G76" s="22">
        <v>7747</v>
      </c>
    </row>
    <row r="77" spans="1:7" x14ac:dyDescent="0.3">
      <c r="A77" s="30" t="s">
        <v>7</v>
      </c>
      <c r="B77" s="22">
        <v>372</v>
      </c>
      <c r="C77" s="22">
        <v>1818</v>
      </c>
      <c r="D77" s="22">
        <v>1346</v>
      </c>
      <c r="E77" s="22">
        <v>1156</v>
      </c>
      <c r="F77" s="22">
        <v>1484</v>
      </c>
      <c r="G77" s="22">
        <v>6176</v>
      </c>
    </row>
    <row r="78" spans="1:7" x14ac:dyDescent="0.3">
      <c r="A78" s="30" t="s">
        <v>22</v>
      </c>
      <c r="B78" s="22">
        <v>1415</v>
      </c>
      <c r="C78" s="22">
        <v>1271</v>
      </c>
      <c r="D78" s="22">
        <v>1214</v>
      </c>
      <c r="E78" s="22">
        <v>1135</v>
      </c>
      <c r="F78" s="22">
        <v>1566</v>
      </c>
      <c r="G78" s="22">
        <v>6601</v>
      </c>
    </row>
    <row r="79" spans="1:7" x14ac:dyDescent="0.3">
      <c r="A79" s="30" t="s">
        <v>21</v>
      </c>
      <c r="B79" s="22">
        <v>1362</v>
      </c>
      <c r="C79" s="22">
        <v>1363</v>
      </c>
      <c r="D79" s="22">
        <v>1152</v>
      </c>
      <c r="E79" s="22">
        <v>777</v>
      </c>
      <c r="F79" s="22">
        <v>750</v>
      </c>
      <c r="G79" s="22">
        <v>5404</v>
      </c>
    </row>
    <row r="83" spans="1:8" x14ac:dyDescent="0.3">
      <c r="A83" t="s">
        <v>1077</v>
      </c>
    </row>
    <row r="85" spans="1:8" x14ac:dyDescent="0.3">
      <c r="A85" t="s">
        <v>1078</v>
      </c>
      <c r="D85" s="26" t="s">
        <v>1070</v>
      </c>
      <c r="E85" s="26" t="s">
        <v>1071</v>
      </c>
      <c r="F85" s="26" t="s">
        <v>1072</v>
      </c>
      <c r="G85" s="27" t="s">
        <v>1073</v>
      </c>
      <c r="H85" s="27" t="s">
        <v>1074</v>
      </c>
    </row>
    <row r="86" spans="1:8" x14ac:dyDescent="0.3">
      <c r="D86" s="24" t="s">
        <v>11</v>
      </c>
      <c r="E86" s="25">
        <v>18415</v>
      </c>
      <c r="F86" s="21">
        <v>189</v>
      </c>
      <c r="G86" s="28" t="e">
        <f>IF(D86=$I$30, E86, NA())</f>
        <v>#N/A</v>
      </c>
      <c r="H86" t="e">
        <f>IF(D86=$I$30,F86,NA())</f>
        <v>#N/A</v>
      </c>
    </row>
    <row r="87" spans="1:8" x14ac:dyDescent="0.3">
      <c r="A87" t="s">
        <v>1079</v>
      </c>
      <c r="B87" s="37">
        <f>E9/E4</f>
        <v>0.186</v>
      </c>
      <c r="D87" s="24" t="s">
        <v>9</v>
      </c>
      <c r="E87" s="25">
        <v>20581</v>
      </c>
      <c r="F87" s="21">
        <v>218</v>
      </c>
      <c r="G87" s="28" t="e">
        <f t="shared" ref="G87:G90" si="2">IF(D87=$I$30, E87, NA())</f>
        <v>#N/A</v>
      </c>
      <c r="H87" t="e">
        <f t="shared" ref="H87:H90" si="3">IF(D87=$I$30,F87,NA())</f>
        <v>#N/A</v>
      </c>
    </row>
    <row r="88" spans="1:8" x14ac:dyDescent="0.3">
      <c r="A88" t="s">
        <v>1072</v>
      </c>
      <c r="B88">
        <f>_xlfn.XLOOKUP(E94,D86:D90,F86:F90)</f>
        <v>186</v>
      </c>
      <c r="D88" s="24" t="s">
        <v>6</v>
      </c>
      <c r="E88" s="25">
        <v>20872</v>
      </c>
      <c r="F88" s="21">
        <v>207</v>
      </c>
      <c r="G88" s="28" t="e">
        <f t="shared" si="2"/>
        <v>#N/A</v>
      </c>
      <c r="H88" t="e">
        <f t="shared" si="3"/>
        <v>#N/A</v>
      </c>
    </row>
    <row r="89" spans="1:8" x14ac:dyDescent="0.3">
      <c r="A89" t="s">
        <v>1071</v>
      </c>
      <c r="B89">
        <f>_xlfn.XLOOKUP(E94,D86:D90,E86:E90)</f>
        <v>16651</v>
      </c>
      <c r="D89" s="24" t="s">
        <v>13</v>
      </c>
      <c r="E89" s="25">
        <v>16651</v>
      </c>
      <c r="F89" s="21">
        <v>186</v>
      </c>
      <c r="G89" s="28">
        <f t="shared" si="2"/>
        <v>16651</v>
      </c>
      <c r="H89">
        <f t="shared" si="3"/>
        <v>186</v>
      </c>
    </row>
    <row r="90" spans="1:8" x14ac:dyDescent="0.3">
      <c r="D90" s="24" t="s">
        <v>10</v>
      </c>
      <c r="E90" s="25">
        <v>20104</v>
      </c>
      <c r="F90" s="21">
        <v>200</v>
      </c>
      <c r="G90" s="28" t="e">
        <f t="shared" si="2"/>
        <v>#N/A</v>
      </c>
      <c r="H90" t="e">
        <f t="shared" si="3"/>
        <v>#N/A</v>
      </c>
    </row>
    <row r="93" spans="1:8" x14ac:dyDescent="0.3">
      <c r="A93" t="s">
        <v>1082</v>
      </c>
    </row>
    <row r="94" spans="1:8" x14ac:dyDescent="0.3">
      <c r="A94" t="s">
        <v>1079</v>
      </c>
      <c r="B94" s="37">
        <f>E9/E4</f>
        <v>0.186</v>
      </c>
      <c r="D94" t="s">
        <v>1075</v>
      </c>
      <c r="E94" t="str">
        <f>K33</f>
        <v>R04</v>
      </c>
    </row>
    <row r="95" spans="1:8" x14ac:dyDescent="0.3">
      <c r="A95" t="s">
        <v>1080</v>
      </c>
      <c r="B95">
        <f>_xlfn.RANK.AVG(B88,F86:F90)</f>
        <v>5</v>
      </c>
    </row>
    <row r="96" spans="1:8" x14ac:dyDescent="0.3">
      <c r="A96" t="s">
        <v>1081</v>
      </c>
      <c r="B96">
        <f>_xlfn.RANK.AVG(B89,E86:E90)</f>
        <v>5</v>
      </c>
    </row>
    <row r="99" spans="1:2" x14ac:dyDescent="0.3">
      <c r="A99" s="38" t="s">
        <v>1083</v>
      </c>
    </row>
    <row r="100" spans="1:2" x14ac:dyDescent="0.3">
      <c r="A100" t="str">
        <f>IF(COUNTA(E94:E98)&gt;1,"","% of Call: "&amp;TEXT(B94,"0%"))</f>
        <v>% of Call: 19%</v>
      </c>
    </row>
    <row r="101" spans="1:2" x14ac:dyDescent="0.3">
      <c r="A101" t="str">
        <f>IF(COUNTA(E94:E98)&gt;1,"","Call Rank:"&amp;B95)</f>
        <v>Call Rank:5</v>
      </c>
    </row>
    <row r="102" spans="1:2" x14ac:dyDescent="0.3">
      <c r="A102" t="str">
        <f>IF(COUNTA(E94:E98)&gt;1, "", "Amount Rank: " &amp; B96)</f>
        <v>Amount Rank: 5</v>
      </c>
    </row>
    <row r="104" spans="1:2" x14ac:dyDescent="0.3">
      <c r="A104" t="s">
        <v>1084</v>
      </c>
      <c r="B104" t="e" vm="6">
        <f>IF(COUNTA(E94:E98)&gt;1,"",_xlfn.XLOOKUP(E94,Assets!E3:E7,Assets!F3:F7))</f>
        <v>#VALUE!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BCD6-4288-42FB-8DA4-F4930547E742}">
  <dimension ref="B2:U46"/>
  <sheetViews>
    <sheetView tabSelected="1" topLeftCell="A4" zoomScale="50" zoomScaleNormal="50" workbookViewId="0">
      <selection activeCell="Z17" sqref="Z17"/>
    </sheetView>
  </sheetViews>
  <sheetFormatPr defaultColWidth="11.796875" defaultRowHeight="14.4" x14ac:dyDescent="0.3"/>
  <cols>
    <col min="1" max="14" width="11.796875" style="29"/>
    <col min="15" max="15" width="18.796875" style="29" customWidth="1"/>
    <col min="16" max="21" width="14.296875" style="29" bestFit="1" customWidth="1"/>
    <col min="22" max="16384" width="11.796875" style="29"/>
  </cols>
  <sheetData>
    <row r="2" spans="2:21" ht="14.4" customHeight="1" x14ac:dyDescent="0.3">
      <c r="B2" s="52" t="s">
        <v>1085</v>
      </c>
      <c r="C2" s="52"/>
      <c r="D2" s="52"/>
      <c r="E2" s="52"/>
      <c r="F2" s="52"/>
      <c r="G2" s="52"/>
      <c r="H2" s="52"/>
      <c r="I2" s="52"/>
      <c r="J2" s="52"/>
      <c r="K2" s="52"/>
      <c r="L2" s="52"/>
      <c r="M2" s="52"/>
      <c r="N2" s="52"/>
      <c r="O2" s="52"/>
      <c r="P2" s="52"/>
      <c r="Q2" s="52"/>
      <c r="R2" s="52"/>
      <c r="S2" s="52"/>
      <c r="T2" s="52"/>
      <c r="U2" s="52"/>
    </row>
    <row r="3" spans="2:21" ht="14.4" customHeight="1" x14ac:dyDescent="0.3">
      <c r="B3" s="52"/>
      <c r="C3" s="52"/>
      <c r="D3" s="52"/>
      <c r="E3" s="52"/>
      <c r="F3" s="52"/>
      <c r="G3" s="52"/>
      <c r="H3" s="52"/>
      <c r="I3" s="52"/>
      <c r="J3" s="52"/>
      <c r="K3" s="52"/>
      <c r="L3" s="52"/>
      <c r="M3" s="52"/>
      <c r="N3" s="52"/>
      <c r="O3" s="52"/>
      <c r="P3" s="52"/>
      <c r="Q3" s="52"/>
      <c r="R3" s="52"/>
      <c r="S3" s="52"/>
      <c r="T3" s="52"/>
      <c r="U3" s="52"/>
    </row>
    <row r="4" spans="2:21" ht="14.4" customHeight="1" x14ac:dyDescent="0.3">
      <c r="B4" s="52"/>
      <c r="C4" s="52"/>
      <c r="D4" s="52"/>
      <c r="E4" s="52"/>
      <c r="F4" s="52"/>
      <c r="G4" s="52"/>
      <c r="H4" s="52"/>
      <c r="I4" s="52"/>
      <c r="J4" s="52"/>
      <c r="K4" s="52"/>
      <c r="L4" s="52"/>
      <c r="M4" s="52"/>
      <c r="N4" s="52"/>
      <c r="O4" s="52"/>
      <c r="P4" s="52"/>
      <c r="Q4" s="52"/>
      <c r="R4" s="52"/>
      <c r="S4" s="52"/>
      <c r="T4" s="52"/>
      <c r="U4" s="52"/>
    </row>
    <row r="5" spans="2:21" ht="14.4" customHeight="1" x14ac:dyDescent="0.3">
      <c r="B5" s="52"/>
      <c r="C5" s="52"/>
      <c r="D5" s="52"/>
      <c r="E5" s="52"/>
      <c r="F5" s="52"/>
      <c r="G5" s="52"/>
      <c r="H5" s="52"/>
      <c r="I5" s="52"/>
      <c r="J5" s="52"/>
      <c r="K5" s="52"/>
      <c r="L5" s="52"/>
      <c r="M5" s="52"/>
      <c r="N5" s="52"/>
      <c r="O5" s="52"/>
      <c r="P5" s="52"/>
      <c r="Q5" s="52"/>
      <c r="R5" s="52"/>
      <c r="S5" s="52"/>
      <c r="T5" s="52"/>
      <c r="U5" s="52"/>
    </row>
    <row r="6" spans="2:21" ht="14.4" customHeight="1" x14ac:dyDescent="0.3">
      <c r="B6" s="52"/>
      <c r="C6" s="52"/>
      <c r="D6" s="52"/>
      <c r="E6" s="52"/>
      <c r="F6" s="52"/>
      <c r="G6" s="52"/>
      <c r="H6" s="52"/>
      <c r="I6" s="52"/>
      <c r="J6" s="52"/>
      <c r="K6" s="52"/>
      <c r="L6" s="52"/>
      <c r="M6" s="52"/>
      <c r="N6" s="52"/>
      <c r="O6" s="52"/>
      <c r="P6" s="52"/>
      <c r="Q6" s="52"/>
      <c r="R6" s="52"/>
      <c r="S6" s="52"/>
      <c r="T6" s="52"/>
      <c r="U6" s="52"/>
    </row>
    <row r="28" spans="15:21" ht="18" x14ac:dyDescent="0.35">
      <c r="O28" s="32" t="str" cm="1">
        <f t="array" ref="O28:U46">IF(Summary!A61:G79="","",Summary!A61:G79)</f>
        <v>Row Labels</v>
      </c>
      <c r="P28" s="33" t="str">
        <v>R01</v>
      </c>
      <c r="Q28" s="33" t="str">
        <v>R02</v>
      </c>
      <c r="R28" s="33" t="str">
        <v>R03</v>
      </c>
      <c r="S28" s="33" t="str">
        <v>R04</v>
      </c>
      <c r="T28" s="33" t="str">
        <v>R05</v>
      </c>
      <c r="U28" s="34" t="str">
        <v>Grand Total</v>
      </c>
    </row>
    <row r="29" spans="15:21" ht="18" x14ac:dyDescent="0.35">
      <c r="O29" s="48" t="str">
        <v>Cincinnati</v>
      </c>
      <c r="P29" s="35" t="str">
        <v/>
      </c>
      <c r="Q29" s="35" t="str">
        <v/>
      </c>
      <c r="R29" s="35" t="str">
        <v/>
      </c>
      <c r="S29" s="35" t="str">
        <v/>
      </c>
      <c r="T29" s="35" t="str">
        <v/>
      </c>
      <c r="U29" s="36" t="str">
        <v/>
      </c>
    </row>
    <row r="30" spans="15:21" ht="18" x14ac:dyDescent="0.35">
      <c r="O30" s="49" t="str">
        <v>C0003</v>
      </c>
      <c r="P30" s="42">
        <v>891</v>
      </c>
      <c r="Q30" s="42">
        <v>1332</v>
      </c>
      <c r="R30" s="42">
        <v>1282</v>
      </c>
      <c r="S30" s="42">
        <v>739</v>
      </c>
      <c r="T30" s="42">
        <v>560</v>
      </c>
      <c r="U30" s="43">
        <v>4804</v>
      </c>
    </row>
    <row r="31" spans="15:21" ht="18" x14ac:dyDescent="0.35">
      <c r="O31" s="49" t="str">
        <v>C0004</v>
      </c>
      <c r="P31" s="42">
        <v>1991</v>
      </c>
      <c r="Q31" s="42">
        <v>1886</v>
      </c>
      <c r="R31" s="42">
        <v>1206</v>
      </c>
      <c r="S31" s="42">
        <v>884</v>
      </c>
      <c r="T31" s="42">
        <v>1722</v>
      </c>
      <c r="U31" s="43">
        <v>7689</v>
      </c>
    </row>
    <row r="32" spans="15:21" ht="18" x14ac:dyDescent="0.35">
      <c r="O32" s="49" t="str">
        <v>C0011</v>
      </c>
      <c r="P32" s="42">
        <v>1163</v>
      </c>
      <c r="Q32" s="42">
        <v>1180</v>
      </c>
      <c r="R32" s="42">
        <v>1616</v>
      </c>
      <c r="S32" s="42">
        <v>1043</v>
      </c>
      <c r="T32" s="42">
        <v>1747</v>
      </c>
      <c r="U32" s="43">
        <v>6749</v>
      </c>
    </row>
    <row r="33" spans="12:21" ht="18" x14ac:dyDescent="0.35">
      <c r="O33" s="49" t="str">
        <v>C0012</v>
      </c>
      <c r="P33" s="42">
        <v>1438</v>
      </c>
      <c r="Q33" s="42">
        <v>1616</v>
      </c>
      <c r="R33" s="42">
        <v>866</v>
      </c>
      <c r="S33" s="42">
        <v>829</v>
      </c>
      <c r="T33" s="42">
        <v>2070</v>
      </c>
      <c r="U33" s="43">
        <v>6819</v>
      </c>
    </row>
    <row r="34" spans="12:21" ht="18" x14ac:dyDescent="0.35">
      <c r="O34" s="48" t="str">
        <v>Cleveland</v>
      </c>
      <c r="P34" s="44" t="str">
        <v/>
      </c>
      <c r="Q34" s="44" t="str">
        <v/>
      </c>
      <c r="R34" s="44" t="str">
        <v/>
      </c>
      <c r="S34" s="44" t="str">
        <v/>
      </c>
      <c r="T34" s="44" t="str">
        <v/>
      </c>
      <c r="U34" s="45" t="str">
        <v/>
      </c>
    </row>
    <row r="35" spans="12:21" ht="18" x14ac:dyDescent="0.35">
      <c r="M35" s="31"/>
      <c r="N35" s="39"/>
      <c r="O35" s="49" t="str">
        <v>C0002</v>
      </c>
      <c r="P35" s="42">
        <v>1233</v>
      </c>
      <c r="Q35" s="42">
        <v>223</v>
      </c>
      <c r="R35" s="42">
        <v>1680</v>
      </c>
      <c r="S35" s="42">
        <v>990</v>
      </c>
      <c r="T35" s="42">
        <v>1508</v>
      </c>
      <c r="U35" s="43">
        <v>5634</v>
      </c>
    </row>
    <row r="36" spans="12:21" ht="18" x14ac:dyDescent="0.35">
      <c r="M36" s="31"/>
      <c r="N36" s="39"/>
      <c r="O36" s="49" t="str">
        <v>C0007</v>
      </c>
      <c r="P36" s="42">
        <v>1598</v>
      </c>
      <c r="Q36" s="42">
        <v>1907</v>
      </c>
      <c r="R36" s="42">
        <v>869</v>
      </c>
      <c r="S36" s="42">
        <v>1426</v>
      </c>
      <c r="T36" s="42">
        <v>1416</v>
      </c>
      <c r="U36" s="43">
        <v>7216</v>
      </c>
    </row>
    <row r="37" spans="12:21" ht="18" x14ac:dyDescent="0.35">
      <c r="M37" s="31"/>
      <c r="N37" s="39"/>
      <c r="O37" s="49" t="str">
        <v>C0008</v>
      </c>
      <c r="P37" s="42">
        <v>900</v>
      </c>
      <c r="Q37" s="42">
        <v>1016</v>
      </c>
      <c r="R37" s="42">
        <v>960</v>
      </c>
      <c r="S37" s="42">
        <v>940</v>
      </c>
      <c r="T37" s="42">
        <v>1193</v>
      </c>
      <c r="U37" s="43">
        <v>5009</v>
      </c>
    </row>
    <row r="38" spans="12:21" ht="18" x14ac:dyDescent="0.35">
      <c r="M38" s="31"/>
      <c r="N38" s="39"/>
      <c r="O38" s="49" t="str">
        <v>C0010</v>
      </c>
      <c r="P38" s="42">
        <v>900</v>
      </c>
      <c r="Q38" s="42">
        <v>1470</v>
      </c>
      <c r="R38" s="42">
        <v>1617</v>
      </c>
      <c r="S38" s="42">
        <v>1314</v>
      </c>
      <c r="T38" s="42">
        <v>941</v>
      </c>
      <c r="U38" s="43">
        <v>6242</v>
      </c>
    </row>
    <row r="39" spans="12:21" ht="18" x14ac:dyDescent="0.35">
      <c r="M39" s="53" t="e" vm="6">
        <f>Summary!B104</f>
        <v>#VALUE!</v>
      </c>
      <c r="N39" s="54"/>
      <c r="O39" s="49" t="str">
        <v>C0013</v>
      </c>
      <c r="P39" s="42">
        <v>1255</v>
      </c>
      <c r="Q39" s="42">
        <v>516</v>
      </c>
      <c r="R39" s="42">
        <v>1874</v>
      </c>
      <c r="S39" s="42">
        <v>1863</v>
      </c>
      <c r="T39" s="42">
        <v>1722</v>
      </c>
      <c r="U39" s="43">
        <v>7230</v>
      </c>
    </row>
    <row r="40" spans="12:21" ht="18" x14ac:dyDescent="0.35">
      <c r="L40" s="40"/>
      <c r="M40" s="53"/>
      <c r="N40" s="54"/>
      <c r="O40" s="49" t="str">
        <v>C0015</v>
      </c>
      <c r="P40" s="42">
        <v>1138</v>
      </c>
      <c r="Q40" s="42">
        <v>1898</v>
      </c>
      <c r="R40" s="42">
        <v>1482</v>
      </c>
      <c r="S40" s="42">
        <v>846</v>
      </c>
      <c r="T40" s="42">
        <v>1154</v>
      </c>
      <c r="U40" s="43">
        <v>6518</v>
      </c>
    </row>
    <row r="41" spans="12:21" ht="18" x14ac:dyDescent="0.35">
      <c r="L41" s="40"/>
      <c r="M41" s="53"/>
      <c r="N41" s="54"/>
      <c r="O41" s="48" t="str">
        <v>Columbus</v>
      </c>
      <c r="P41" s="44" t="str">
        <v/>
      </c>
      <c r="Q41" s="44" t="str">
        <v/>
      </c>
      <c r="R41" s="44" t="str">
        <v/>
      </c>
      <c r="S41" s="44" t="str">
        <v/>
      </c>
      <c r="T41" s="44" t="str">
        <v/>
      </c>
      <c r="U41" s="44" t="str">
        <v/>
      </c>
    </row>
    <row r="42" spans="12:21" ht="18" x14ac:dyDescent="0.35">
      <c r="L42" s="40"/>
      <c r="M42" s="31"/>
      <c r="N42" s="39"/>
      <c r="O42" s="50" t="str">
        <v>C0001</v>
      </c>
      <c r="P42" s="42">
        <v>1655</v>
      </c>
      <c r="Q42" s="42">
        <v>805</v>
      </c>
      <c r="R42" s="42">
        <v>2263</v>
      </c>
      <c r="S42" s="42">
        <v>987</v>
      </c>
      <c r="T42" s="42">
        <v>1075</v>
      </c>
      <c r="U42" s="43">
        <v>6785</v>
      </c>
    </row>
    <row r="43" spans="12:21" ht="23.4" x14ac:dyDescent="0.35">
      <c r="M43" s="41" t="str">
        <f>Summary!A100</f>
        <v>% of Call: 19%</v>
      </c>
      <c r="N43" s="41"/>
      <c r="O43" s="50" t="str">
        <v>C0005</v>
      </c>
      <c r="P43" s="42">
        <v>1104</v>
      </c>
      <c r="Q43" s="42">
        <v>2280</v>
      </c>
      <c r="R43" s="42">
        <v>1445</v>
      </c>
      <c r="S43" s="42">
        <v>1722</v>
      </c>
      <c r="T43" s="42">
        <v>1196</v>
      </c>
      <c r="U43" s="43">
        <v>7747</v>
      </c>
    </row>
    <row r="44" spans="12:21" ht="23.4" x14ac:dyDescent="0.35">
      <c r="M44" s="41" t="str">
        <f>Summary!A101</f>
        <v>Call Rank:5</v>
      </c>
      <c r="N44" s="41"/>
      <c r="O44" s="50" t="str">
        <v>C0006</v>
      </c>
      <c r="P44" s="42">
        <v>372</v>
      </c>
      <c r="Q44" s="42">
        <v>1818</v>
      </c>
      <c r="R44" s="42">
        <v>1346</v>
      </c>
      <c r="S44" s="42">
        <v>1156</v>
      </c>
      <c r="T44" s="42">
        <v>1484</v>
      </c>
      <c r="U44" s="43">
        <v>6176</v>
      </c>
    </row>
    <row r="45" spans="12:21" ht="23.4" x14ac:dyDescent="0.35">
      <c r="M45" s="41" t="str">
        <f>Summary!A102</f>
        <v>Amount Rank: 5</v>
      </c>
      <c r="N45" s="41"/>
      <c r="O45" s="50" t="str">
        <v>C0009</v>
      </c>
      <c r="P45" s="42">
        <v>1415</v>
      </c>
      <c r="Q45" s="42">
        <v>1271</v>
      </c>
      <c r="R45" s="42">
        <v>1214</v>
      </c>
      <c r="S45" s="42">
        <v>1135</v>
      </c>
      <c r="T45" s="42">
        <v>1566</v>
      </c>
      <c r="U45" s="43">
        <v>6601</v>
      </c>
    </row>
    <row r="46" spans="12:21" ht="18" x14ac:dyDescent="0.35">
      <c r="O46" s="51" t="str">
        <v>C0014</v>
      </c>
      <c r="P46" s="46">
        <v>1362</v>
      </c>
      <c r="Q46" s="46">
        <v>1363</v>
      </c>
      <c r="R46" s="46">
        <v>1152</v>
      </c>
      <c r="S46" s="46">
        <v>777</v>
      </c>
      <c r="T46" s="46">
        <v>750</v>
      </c>
      <c r="U46" s="47">
        <v>5404</v>
      </c>
    </row>
  </sheetData>
  <mergeCells count="2">
    <mergeCell ref="B2:U6"/>
    <mergeCell ref="M39:N41"/>
  </mergeCells>
  <conditionalFormatting sqref="P28:T46">
    <cfRule type="dataBar" priority="8">
      <dataBar>
        <cfvo type="num" val="0"/>
        <cfvo type="formula" val="MAX($P$29:$T$46)*2"/>
        <color theme="2" tint="-0.249977111117893"/>
      </dataBar>
      <extLst>
        <ext xmlns:x14="http://schemas.microsoft.com/office/spreadsheetml/2009/9/main" uri="{B025F937-C7B1-47D3-B67F-A62EFF666E3E}">
          <x14:id>{4915BB4F-AA2A-4C8A-BF97-97548C53CA2A}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7" id="{A6100E58-97C2-4CDB-B970-44C51CE64819}">
            <xm:f>OR(P$28=Summary!$I$30, Summary!$K$34&lt;&gt;"Grand Total")</xm:f>
            <x14:dxf>
              <fill>
                <patternFill>
                  <bgColor theme="5" tint="0.39994506668294322"/>
                </patternFill>
              </fill>
              <border>
                <left style="thin">
                  <color auto="1"/>
                </left>
                <right style="thin">
                  <color auto="1"/>
                </right>
                <top style="thin">
                  <color auto="1"/>
                </top>
                <bottom style="thin">
                  <color auto="1"/>
                </bottom>
                <vertical/>
                <horizontal/>
              </border>
            </x14:dxf>
          </x14:cfRule>
          <x14:cfRule type="dataBar" id="{4915BB4F-AA2A-4C8A-BF97-97548C53CA2A}">
            <x14:dataBar minLength="0" maxLength="100" gradient="0">
              <x14:cfvo type="num">
                <xm:f>0</xm:f>
              </x14:cfvo>
              <x14:cfvo type="formula">
                <xm:f>MAX($P$29:$T$46)*2</xm:f>
              </x14:cfvo>
              <x14:negativeFillColor rgb="FFFF0000"/>
              <x14:axisColor rgb="FF000000"/>
            </x14:dataBar>
          </x14:cfRule>
          <xm:sqref>P28:T46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Summary</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Om Katkar</cp:lastModifiedBy>
  <dcterms:created xsi:type="dcterms:W3CDTF">2021-03-14T20:21:32Z</dcterms:created>
  <dcterms:modified xsi:type="dcterms:W3CDTF">2026-10-07T17:07:52Z</dcterms:modified>
</cp:coreProperties>
</file>